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KOLN\Otther activities\Java\project\"/>
    </mc:Choice>
  </mc:AlternateContent>
  <xr:revisionPtr revIDLastSave="0" documentId="13_ncr:1_{2F831062-5DB3-42FB-9ABE-B05625D326DB}" xr6:coauthVersionLast="43" xr6:coauthVersionMax="43" xr10:uidLastSave="{00000000-0000-0000-0000-000000000000}"/>
  <bookViews>
    <workbookView xWindow="20370" yWindow="-120" windowWidth="29040" windowHeight="15840" tabRatio="500" firstSheet="3" activeTab="3" xr2:uid="{00000000-000D-0000-FFFF-FFFF00000000}"/>
  </bookViews>
  <sheets>
    <sheet name="List" sheetId="5" state="hidden" r:id="rId1"/>
    <sheet name="Player Database" sheetId="3" state="hidden" r:id="rId2"/>
    <sheet name="Selection" sheetId="4" state="hidden" r:id="rId3"/>
    <sheet name="Point Table" sheetId="7" r:id="rId4"/>
    <sheet name="Rules" sheetId="6" state="hidden" r:id="rId5"/>
  </sheets>
  <externalReferences>
    <externalReference r:id="rId6"/>
  </externalReferences>
  <definedNames>
    <definedName name="_xlnm._FilterDatabase" localSheetId="0" hidden="1">List!$A$1:$C$150</definedName>
    <definedName name="_xlnm._FilterDatabase" localSheetId="3" hidden="1">'Point Table'!$R$25:$S$25</definedName>
    <definedName name="Allrounder">'Player Database'!$C$2:$C$1048576</definedName>
    <definedName name="Batting_allrounder">'Player Database'!$D$2:$D$1048576</definedName>
    <definedName name="BBBB">'Player Database'!$I$2:$I$17</definedName>
    <definedName name="Bowler">'Player Database'!$F$2:$F$1048576</definedName>
    <definedName name="Bowling_allrounder">'Player Database'!$E$2:$E$1048576</definedName>
    <definedName name="Middle_order_Batsman">'Player Database'!$G$2:$G$19</definedName>
    <definedName name="Opening_batsman">'Player Database'!$H$2:$H$1048576</definedName>
    <definedName name="Top_order_Batsman">'Player Database'!$I$2:$I$17</definedName>
    <definedName name="Wicketkeeper_batsman">'Player Database'!$J$2:$J$1048576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V8" i="7" l="1"/>
  <c r="V9" i="7"/>
  <c r="V10" i="7"/>
  <c r="V11" i="7"/>
  <c r="V12" i="7"/>
  <c r="V13" i="7"/>
  <c r="V14" i="7"/>
  <c r="V15" i="7"/>
  <c r="V16" i="7"/>
  <c r="V17" i="7"/>
  <c r="V18" i="7"/>
  <c r="V7" i="7"/>
  <c r="E10" i="7"/>
  <c r="E11" i="7"/>
  <c r="E12" i="7"/>
  <c r="E13" i="7"/>
  <c r="E14" i="7"/>
  <c r="E15" i="7"/>
  <c r="E16" i="7"/>
  <c r="E17" i="7"/>
  <c r="E18" i="7"/>
  <c r="E19" i="7"/>
  <c r="M72" i="7"/>
  <c r="M67" i="7"/>
  <c r="M65" i="7"/>
  <c r="M64" i="7"/>
  <c r="M63" i="7"/>
  <c r="M62" i="7"/>
  <c r="I72" i="7"/>
  <c r="I67" i="7"/>
  <c r="I65" i="7"/>
  <c r="I64" i="7"/>
  <c r="I63" i="7"/>
  <c r="I62" i="7"/>
  <c r="E72" i="7"/>
  <c r="E67" i="7"/>
  <c r="E65" i="7"/>
  <c r="E64" i="7"/>
  <c r="E63" i="7"/>
  <c r="E62" i="7"/>
  <c r="M55" i="7"/>
  <c r="M50" i="7"/>
  <c r="M48" i="7"/>
  <c r="M47" i="7"/>
  <c r="M46" i="7"/>
  <c r="M45" i="7"/>
  <c r="I55" i="7"/>
  <c r="I50" i="7"/>
  <c r="I48" i="7"/>
  <c r="I47" i="7"/>
  <c r="I46" i="7"/>
  <c r="I45" i="7"/>
  <c r="E55" i="7"/>
  <c r="E50" i="7"/>
  <c r="E48" i="7"/>
  <c r="E47" i="7"/>
  <c r="E46" i="7"/>
  <c r="E45" i="7"/>
  <c r="M38" i="7"/>
  <c r="M33" i="7"/>
  <c r="M31" i="7"/>
  <c r="M30" i="7"/>
  <c r="M29" i="7"/>
  <c r="M28" i="7"/>
  <c r="I38" i="7"/>
  <c r="I33" i="7"/>
  <c r="I31" i="7"/>
  <c r="I30" i="7"/>
  <c r="I29" i="7"/>
  <c r="I28" i="7"/>
  <c r="E38" i="7"/>
  <c r="E33" i="7"/>
  <c r="E31" i="7"/>
  <c r="E30" i="7"/>
  <c r="E29" i="7"/>
  <c r="E28" i="7"/>
  <c r="M19" i="7"/>
  <c r="M14" i="7"/>
  <c r="M12" i="7"/>
  <c r="M11" i="7"/>
  <c r="M10" i="7"/>
  <c r="M9" i="7"/>
  <c r="I19" i="7"/>
  <c r="I14" i="7"/>
  <c r="I12" i="7"/>
  <c r="I11" i="7"/>
  <c r="I10" i="7"/>
  <c r="I9" i="7"/>
  <c r="E9" i="7"/>
  <c r="M20" i="7" l="1"/>
  <c r="S9" i="7" s="1"/>
  <c r="I39" i="7"/>
  <c r="S11" i="7" s="1"/>
  <c r="E56" i="7"/>
  <c r="S13" i="7" s="1"/>
  <c r="M56" i="7"/>
  <c r="S15" i="7" s="1"/>
  <c r="I73" i="7"/>
  <c r="S17" i="7" s="1"/>
  <c r="E39" i="7"/>
  <c r="S10" i="7" s="1"/>
  <c r="M39" i="7"/>
  <c r="S12" i="7" s="1"/>
  <c r="I56" i="7"/>
  <c r="S14" i="7" s="1"/>
  <c r="E73" i="7"/>
  <c r="S16" i="7" s="1"/>
  <c r="M73" i="7"/>
  <c r="S18" i="7" s="1"/>
  <c r="I20" i="7"/>
  <c r="S8" i="7" s="1"/>
  <c r="E20" i="7" l="1"/>
  <c r="S7" i="7" s="1"/>
  <c r="K8" i="4"/>
  <c r="E6" i="4" l="1"/>
  <c r="K6" i="4" s="1"/>
  <c r="E7" i="4"/>
  <c r="K7" i="4" s="1"/>
  <c r="E8" i="4"/>
  <c r="E9" i="4"/>
  <c r="K9" i="4" s="1"/>
  <c r="E10" i="4"/>
  <c r="K10" i="4" s="1"/>
  <c r="E11" i="4"/>
  <c r="K11" i="4" s="1"/>
  <c r="E12" i="4"/>
  <c r="K12" i="4" s="1"/>
  <c r="E13" i="4"/>
  <c r="K13" i="4" s="1"/>
  <c r="E14" i="4"/>
  <c r="K14" i="4" s="1"/>
  <c r="E15" i="4"/>
  <c r="E5" i="4"/>
  <c r="K5" i="4" s="1"/>
  <c r="J6" i="4" l="1"/>
  <c r="J7" i="4"/>
  <c r="J8" i="4"/>
  <c r="J9" i="4"/>
  <c r="J10" i="4"/>
  <c r="J11" i="4"/>
  <c r="J12" i="4"/>
  <c r="J13" i="4"/>
  <c r="J14" i="4"/>
  <c r="J15" i="4"/>
  <c r="J5" i="4"/>
  <c r="I8" i="4"/>
  <c r="I9" i="4"/>
  <c r="I10" i="4"/>
  <c r="I12" i="4"/>
  <c r="I13" i="4"/>
  <c r="I6" i="4"/>
  <c r="I5" i="4"/>
</calcChain>
</file>

<file path=xl/sharedStrings.xml><?xml version="1.0" encoding="utf-8"?>
<sst xmlns="http://schemas.openxmlformats.org/spreadsheetml/2006/main" count="854" uniqueCount="217">
  <si>
    <t>Mohammad Nabi</t>
  </si>
  <si>
    <t>Allrounder</t>
  </si>
  <si>
    <t>Rahmat Shah</t>
  </si>
  <si>
    <t>Samiullah Shinwari</t>
  </si>
  <si>
    <t>Mahmudullah</t>
  </si>
  <si>
    <t>Mehidy Hasan Miraz</t>
  </si>
  <si>
    <t>Shakib Al Hasan</t>
  </si>
  <si>
    <t>BA Stokes</t>
  </si>
  <si>
    <t>DJ Willey</t>
  </si>
  <si>
    <t>HH Pandya</t>
  </si>
  <si>
    <t>RA Jadeja</t>
  </si>
  <si>
    <t>V Shankar</t>
  </si>
  <si>
    <t>C de Grandhomme</t>
  </si>
  <si>
    <t>Imad Wasim</t>
  </si>
  <si>
    <t>Mohammad Hafeez</t>
  </si>
  <si>
    <t>Shadab Khan</t>
  </si>
  <si>
    <t>AD Mathews</t>
  </si>
  <si>
    <t>BMAJ Mendis</t>
  </si>
  <si>
    <t>DM de Silva</t>
  </si>
  <si>
    <t>I Udana</t>
  </si>
  <si>
    <t>NLTC Perera</t>
  </si>
  <si>
    <t>TAM Siriwardana</t>
  </si>
  <si>
    <t>AD Russell</t>
  </si>
  <si>
    <t>CH Gayle</t>
  </si>
  <si>
    <t>CR Brathwaite</t>
  </si>
  <si>
    <t>GJ Maxwell</t>
  </si>
  <si>
    <t>Batting allrounder</t>
  </si>
  <si>
    <t>MM Ali</t>
  </si>
  <si>
    <t>KM Jadhav</t>
  </si>
  <si>
    <t>JDS Neesham</t>
  </si>
  <si>
    <t>JP Duminy</t>
  </si>
  <si>
    <t>Aftab Alam</t>
  </si>
  <si>
    <t>Bowler</t>
  </si>
  <si>
    <t>Dawlat Zadran</t>
  </si>
  <si>
    <t>Gulbadin Naib (c)</t>
  </si>
  <si>
    <t>Hamid Hassan</t>
  </si>
  <si>
    <t>Mujeeb Ur Rahman</t>
  </si>
  <si>
    <t>Rashid Khan</t>
  </si>
  <si>
    <t>A Zampa</t>
  </si>
  <si>
    <t>JP Behrendorff</t>
  </si>
  <si>
    <t>KW Richardson</t>
  </si>
  <si>
    <t>MA Starc</t>
  </si>
  <si>
    <t>NM Coulter-Nile</t>
  </si>
  <si>
    <t>NM Lyon</t>
  </si>
  <si>
    <t>PJ Cummins</t>
  </si>
  <si>
    <t>Abu Jayed</t>
  </si>
  <si>
    <t>Mashrafe Mortaza (c)</t>
  </si>
  <si>
    <t>Mustafizur Rahman</t>
  </si>
  <si>
    <t>Rubel Hossain</t>
  </si>
  <si>
    <t>AU Rashid</t>
  </si>
  <si>
    <t>CR Woakes</t>
  </si>
  <si>
    <t>LE Plunkett</t>
  </si>
  <si>
    <t>MA Wood</t>
  </si>
  <si>
    <t>B Kumar</t>
  </si>
  <si>
    <t>JJ Bumrah</t>
  </si>
  <si>
    <t>Kuldeep Yadav</t>
  </si>
  <si>
    <t>Mohammed Shami</t>
  </si>
  <si>
    <t>YS Chahal</t>
  </si>
  <si>
    <t>IS Sodhi</t>
  </si>
  <si>
    <t>LH Ferguson</t>
  </si>
  <si>
    <t>MJ Henry</t>
  </si>
  <si>
    <t>TA Boult</t>
  </si>
  <si>
    <t>TG Southee</t>
  </si>
  <si>
    <t>Hasan Ali</t>
  </si>
  <si>
    <t>Junaid Khan</t>
  </si>
  <si>
    <t>Mohammad Hasnain</t>
  </si>
  <si>
    <t>Shaheen Shah Afridi</t>
  </si>
  <si>
    <t>AL Phehlukwayo</t>
  </si>
  <si>
    <t>D Pretorius</t>
  </si>
  <si>
    <t>DW Steyn</t>
  </si>
  <si>
    <t>Imran Tahir</t>
  </si>
  <si>
    <t>K Rabada</t>
  </si>
  <si>
    <t>L Ngidi</t>
  </si>
  <si>
    <t>T Shamsi</t>
  </si>
  <si>
    <t>JDF Vandersay</t>
  </si>
  <si>
    <t>N Pradeep</t>
  </si>
  <si>
    <t>RAS Lakmal</t>
  </si>
  <si>
    <t>SL Malinga</t>
  </si>
  <si>
    <t>AR Nurse</t>
  </si>
  <si>
    <t>FA Allen</t>
  </si>
  <si>
    <t>KAJ Roach</t>
  </si>
  <si>
    <t>O Thomas</t>
  </si>
  <si>
    <t>SS Cottrell</t>
  </si>
  <si>
    <t>ST Gabriel</t>
  </si>
  <si>
    <t>Mohammad Saifuddin</t>
  </si>
  <si>
    <t>Bowling allrounder</t>
  </si>
  <si>
    <t>TK Curran</t>
  </si>
  <si>
    <t>MJ Santner</t>
  </si>
  <si>
    <t>Faheem Ashraf</t>
  </si>
  <si>
    <t>CH Morris</t>
  </si>
  <si>
    <t>JO Holder (c)</t>
  </si>
  <si>
    <t>Asghar Afghan</t>
  </si>
  <si>
    <t>Middle-order batsman</t>
  </si>
  <si>
    <t>Najibullah Zadran</t>
  </si>
  <si>
    <t>MP Stoinis</t>
  </si>
  <si>
    <t>SPD Smith</t>
  </si>
  <si>
    <t>Mosaddek Hossain</t>
  </si>
  <si>
    <t>Sabbir Rahman</t>
  </si>
  <si>
    <t>Soumya Sarkar</t>
  </si>
  <si>
    <t>EJG Morgan (c)</t>
  </si>
  <si>
    <t>JJ Roy</t>
  </si>
  <si>
    <t>JM Bairstow</t>
  </si>
  <si>
    <t>C Munro</t>
  </si>
  <si>
    <t>LRPL Taylor</t>
  </si>
  <si>
    <t>Haris Sohail</t>
  </si>
  <si>
    <t>Shoaib Malik</t>
  </si>
  <si>
    <t>DA Miller</t>
  </si>
  <si>
    <t>F du Plessis (c)</t>
  </si>
  <si>
    <t>Hazratullah Zazai</t>
  </si>
  <si>
    <t>Opening batsman</t>
  </si>
  <si>
    <t>Noor Ali Zadran</t>
  </si>
  <si>
    <t>DA Warner</t>
  </si>
  <si>
    <t>Tamim Iqbal</t>
  </si>
  <si>
    <t>JL Denly</t>
  </si>
  <si>
    <t>KL Rahul</t>
  </si>
  <si>
    <t>S Dhawan</t>
  </si>
  <si>
    <t>MJ Guptill</t>
  </si>
  <si>
    <t>Abid Ali</t>
  </si>
  <si>
    <t>Fakhar Zaman</t>
  </si>
  <si>
    <t>AK Markram</t>
  </si>
  <si>
    <t>HE van der Dussen</t>
  </si>
  <si>
    <t>FDM Karunaratne (c)</t>
  </si>
  <si>
    <t>WIA Fernando</t>
  </si>
  <si>
    <t>E Lewis</t>
  </si>
  <si>
    <t>Hashmatullah Shahidi</t>
  </si>
  <si>
    <t>Top-order batsman</t>
  </si>
  <si>
    <t>AJ Finch (c)</t>
  </si>
  <si>
    <t>SE Marsh</t>
  </si>
  <si>
    <t>UT Khawaja</t>
  </si>
  <si>
    <t>Mohammad Mithun</t>
  </si>
  <si>
    <t>JE Root</t>
  </si>
  <si>
    <t>RG Sharma</t>
  </si>
  <si>
    <t>V Kohli (c)</t>
  </si>
  <si>
    <t>HM Nicholls</t>
  </si>
  <si>
    <t>KS Williamson (c)</t>
  </si>
  <si>
    <t>Imam-ul-Haq</t>
  </si>
  <si>
    <t>HM Amla</t>
  </si>
  <si>
    <t>HDRL Thirimanne</t>
  </si>
  <si>
    <t>DM Bravo</t>
  </si>
  <si>
    <t>SO Hetmyer</t>
  </si>
  <si>
    <t>Mohammad Shahzad †</t>
  </si>
  <si>
    <t>Wicketkeeper batsman</t>
  </si>
  <si>
    <t>AT Carey †</t>
  </si>
  <si>
    <t>Liton Das †</t>
  </si>
  <si>
    <t>Mushfiqur Rahim †</t>
  </si>
  <si>
    <t>JC Buttler †</t>
  </si>
  <si>
    <t>KD Karthik †</t>
  </si>
  <si>
    <t>MS Dhoni †</t>
  </si>
  <si>
    <t>TA Blundell †</t>
  </si>
  <si>
    <t>TWM Latham †</t>
  </si>
  <si>
    <t>Sarfaraz Ahmed (c) †</t>
  </si>
  <si>
    <t>Q de Kock †</t>
  </si>
  <si>
    <t>BKG Mendis †</t>
  </si>
  <si>
    <t>MDKJ Perera †</t>
  </si>
  <si>
    <t>N Pooran †</t>
  </si>
  <si>
    <t>SD Hope †</t>
  </si>
  <si>
    <t>Player Name</t>
  </si>
  <si>
    <t>Status</t>
  </si>
  <si>
    <t>PLAYER</t>
  </si>
  <si>
    <t>ROLE</t>
  </si>
  <si>
    <t>Country</t>
  </si>
  <si>
    <t>AFG</t>
  </si>
  <si>
    <t>BAN</t>
  </si>
  <si>
    <t>Eng</t>
  </si>
  <si>
    <t>IND</t>
  </si>
  <si>
    <t>NZ</t>
  </si>
  <si>
    <t>PAK</t>
  </si>
  <si>
    <t>SL</t>
  </si>
  <si>
    <t>WI</t>
  </si>
  <si>
    <t>Babar Azam</t>
  </si>
  <si>
    <t>Batsman</t>
  </si>
  <si>
    <t>AUS</t>
  </si>
  <si>
    <t>SA</t>
  </si>
  <si>
    <t>Role</t>
  </si>
  <si>
    <t>Name</t>
  </si>
  <si>
    <t>No.</t>
  </si>
  <si>
    <t>Rules :</t>
  </si>
  <si>
    <t xml:space="preserve">1. You must choose at least one (1) wicketkeeper and five (5) 
Bowlers/bowling all-rounder.
2. You cannot change your team during the first round unless injured/banned from the whole tournament.
3. You can change two (2) players for semi-final as well as two (2) players for final.
Scoring System:
1. 5 runs = 1 point 
2. If your batsman scores 50, 100,150,200,250 you will get bonus point 10, 30, and 60,100,150 respectively.
3. 1wicket = 5 points (up to 5 wickets and 6th to 10th wicket gives you 10 point each) 
4. if your bowler hauls five (5) wickets, you will get 25 as a bonus.
5. A hat trick of your bowler helps to earn ten (10) bonus points
6. Bowler Economy less than or equal 3.5 will earn 10 points
7. 1 wicket keeper dismissed = 5 points.
8. One (1) catch (any player except WK) =2 points. 
9. One (1) Run out (any player) = 2 points
10. Man of the match = 50 points.
11. Man of the series = 200 points.
</t>
  </si>
  <si>
    <t>Middle order Batsman</t>
  </si>
  <si>
    <t>Top order Batsman</t>
  </si>
  <si>
    <t>hope</t>
  </si>
  <si>
    <t>Team_Xubaer</t>
  </si>
  <si>
    <t>DA Warner (VC)</t>
  </si>
  <si>
    <t>Shakib Al Hasan ©</t>
  </si>
  <si>
    <t>Jos Buttler (W)</t>
  </si>
  <si>
    <t>Jasprit Bumrah</t>
  </si>
  <si>
    <t>Kagiso Rabada</t>
  </si>
  <si>
    <t>David Warner</t>
  </si>
  <si>
    <t>Jonny Bairstow</t>
  </si>
  <si>
    <t>Ross Taylor</t>
  </si>
  <si>
    <t>Joe Root</t>
  </si>
  <si>
    <t>Point</t>
  </si>
  <si>
    <t>Total</t>
  </si>
  <si>
    <t>Point Table</t>
  </si>
  <si>
    <t>todays match</t>
  </si>
  <si>
    <t>Current point</t>
  </si>
  <si>
    <t>Todays Point</t>
  </si>
  <si>
    <t>Team_2</t>
  </si>
  <si>
    <t>Team_3</t>
  </si>
  <si>
    <t>Team_4</t>
  </si>
  <si>
    <t>Team_5</t>
  </si>
  <si>
    <t>Team_6</t>
  </si>
  <si>
    <t>Team_7</t>
  </si>
  <si>
    <t>Team_8</t>
  </si>
  <si>
    <t>Team_9</t>
  </si>
  <si>
    <t>Team_10</t>
  </si>
  <si>
    <t>Team_11</t>
  </si>
  <si>
    <t>Team_12</t>
  </si>
  <si>
    <t>1.refresh page</t>
  </si>
  <si>
    <t>2.alt+F8, run</t>
  </si>
  <si>
    <t>Total point</t>
  </si>
  <si>
    <t>3. (just once) Copy current point to Total ponit(Value paste)</t>
  </si>
  <si>
    <t>Team Name</t>
  </si>
  <si>
    <t>Position</t>
  </si>
  <si>
    <t>0.update scorecard.csv file, import or paste at A11 cell.</t>
  </si>
  <si>
    <t>Xubaerd</t>
  </si>
  <si>
    <t>gggg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</si>
</sst>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name val="Arial"/>
      <family val="2"/>
    </font>
    <font>
      <sz val="12"/>
      <color rgb="FFFF0000"/>
      <name val="Arial"/>
      <family val="2"/>
    </font>
    <font>
      <sz val="12"/>
      <color rgb="FF00A933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1"/>
      <color rgb="FF7030A0"/>
      <name val="Arial"/>
      <family val="2"/>
    </font>
    <font>
      <sz val="12"/>
      <color rgb="FF7030A0"/>
      <name val="Arial"/>
      <family val="2"/>
    </font>
    <font>
      <b/>
      <sz val="14"/>
      <name val="Arial"/>
      <family val="2"/>
    </font>
    <font>
      <sz val="12"/>
      <color rgb="FF342A06"/>
      <name val="Arial"/>
      <family val="2"/>
    </font>
    <font>
      <sz val="11"/>
      <color rgb="FF1D2129"/>
      <name val="Arial"/>
      <family val="2"/>
    </font>
    <font>
      <sz val="20"/>
      <name val="Arial"/>
      <family val="2"/>
    </font>
    <font>
      <sz val="14"/>
      <name val="Calibri"/>
      <family val="2"/>
      <scheme val="minor"/>
    </font>
    <font>
      <sz val="10"/>
      <color rgb="FFFF0000"/>
      <name val="Arial"/>
      <family val="2"/>
    </font>
    <font>
      <b/>
      <sz val="18"/>
      <color rgb="FF7030A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0" xfId="0" applyFont="1"/>
    <xf numFmtId="0" fontId="6" fillId="0" borderId="1" xfId="0" applyFont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0" fillId="0" borderId="0" xfId="0" applyBorder="1"/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7" fillId="0" borderId="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8" fillId="0" borderId="0" xfId="0" applyFont="1" applyAlignment="1">
      <alignment vertical="top"/>
    </xf>
    <xf numFmtId="0" fontId="18" fillId="0" borderId="7" xfId="0" applyFont="1" applyBorder="1" applyAlignment="1">
      <alignment vertical="top"/>
    </xf>
    <xf numFmtId="0" fontId="18" fillId="0" borderId="3" xfId="0" applyFont="1" applyBorder="1" applyAlignment="1">
      <alignment vertical="top"/>
    </xf>
    <xf numFmtId="0" fontId="18" fillId="0" borderId="12" xfId="0" applyFont="1" applyFill="1" applyBorder="1" applyAlignment="1">
      <alignment vertical="top"/>
    </xf>
    <xf numFmtId="0" fontId="0" fillId="0" borderId="13" xfId="0" applyBorder="1"/>
    <xf numFmtId="0" fontId="0" fillId="3" borderId="13" xfId="0" applyFill="1" applyBorder="1"/>
    <xf numFmtId="0" fontId="0" fillId="4" borderId="13" xfId="0" applyFill="1" applyBorder="1"/>
    <xf numFmtId="0" fontId="19" fillId="0" borderId="0" xfId="0" applyFont="1"/>
    <xf numFmtId="0" fontId="0" fillId="4" borderId="14" xfId="0" applyFill="1" applyBorder="1" applyAlignment="1">
      <alignment horizontal="center" vertical="center"/>
    </xf>
    <xf numFmtId="0" fontId="20" fillId="0" borderId="15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16" fillId="0" borderId="0" xfId="0" applyFont="1" applyAlignment="1">
      <alignment horizontal="left" vertical="top" wrapText="1"/>
    </xf>
    <xf numFmtId="0" fontId="19" fillId="0" borderId="13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A933"/>
      <rgbColor rgb="FF003300"/>
      <rgbColor rgb="FF342A06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C2019Efferen/Player_in_all_team_poin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_in_all_team_points"/>
    </sheetNames>
    <sheetDataSet>
      <sheetData sheetId="0">
        <row r="1">
          <cell r="A1" t="str">
            <v>Jonny Bairstow</v>
          </cell>
          <cell r="B1">
            <v>11</v>
          </cell>
        </row>
        <row r="2">
          <cell r="A2" t="str">
            <v>Imran Tahir</v>
          </cell>
          <cell r="B2">
            <v>0</v>
          </cell>
        </row>
        <row r="3">
          <cell r="A3" t="str">
            <v>Mitchell Starc</v>
          </cell>
          <cell r="B3">
            <v>0</v>
          </cell>
        </row>
        <row r="4">
          <cell r="A4" t="str">
            <v>Chris Woakes</v>
          </cell>
          <cell r="B4">
            <v>10</v>
          </cell>
        </row>
        <row r="5">
          <cell r="A5" t="str">
            <v>Glenn Maxwell</v>
          </cell>
          <cell r="B5">
            <v>0</v>
          </cell>
        </row>
        <row r="6">
          <cell r="A6" t="str">
            <v>Eoin Morgan (C)</v>
          </cell>
          <cell r="B6">
            <v>0</v>
          </cell>
        </row>
        <row r="7">
          <cell r="A7" t="str">
            <v>Jos Buttler (W)</v>
          </cell>
          <cell r="B7">
            <v>65</v>
          </cell>
        </row>
        <row r="8">
          <cell r="A8" t="str">
            <v>Quinton de Kock</v>
          </cell>
          <cell r="B8">
            <v>0</v>
          </cell>
        </row>
        <row r="9">
          <cell r="A9" t="str">
            <v>Jofra Archer</v>
          </cell>
          <cell r="B9">
            <v>0</v>
          </cell>
        </row>
        <row r="10">
          <cell r="A10" t="str">
            <v>Lockie Ferguson</v>
          </cell>
          <cell r="B10">
            <v>0</v>
          </cell>
        </row>
        <row r="11">
          <cell r="A11" t="str">
            <v>Tim Southee</v>
          </cell>
          <cell r="B11">
            <v>0</v>
          </cell>
        </row>
        <row r="12">
          <cell r="A12" t="str">
            <v>Imam-ul-Haq</v>
          </cell>
          <cell r="B12">
            <v>0</v>
          </cell>
        </row>
        <row r="13">
          <cell r="A13" t="str">
            <v>Angelo Mathews</v>
          </cell>
          <cell r="B13">
            <v>0</v>
          </cell>
        </row>
        <row r="14">
          <cell r="A14" t="str">
            <v>Ben Stokes</v>
          </cell>
          <cell r="B14">
            <v>21</v>
          </cell>
        </row>
        <row r="15">
          <cell r="A15" t="str">
            <v>Mashrafe Mortaza (c)</v>
          </cell>
          <cell r="B15">
            <v>0</v>
          </cell>
        </row>
        <row r="16">
          <cell r="A16" t="str">
            <v>Shoaib Malik</v>
          </cell>
          <cell r="B16">
            <v>0</v>
          </cell>
        </row>
        <row r="17">
          <cell r="A17" t="str">
            <v>Shakib Al Hasan</v>
          </cell>
          <cell r="B17">
            <v>0</v>
          </cell>
        </row>
        <row r="18">
          <cell r="A18" t="str">
            <v>Mahendra Sing Dhoni</v>
          </cell>
          <cell r="B18">
            <v>0</v>
          </cell>
        </row>
        <row r="19">
          <cell r="A19" t="str">
            <v>Mustafizur Rahman</v>
          </cell>
          <cell r="B19">
            <v>0</v>
          </cell>
        </row>
        <row r="20">
          <cell r="A20" t="str">
            <v>Hardik Pandya</v>
          </cell>
          <cell r="B20">
            <v>0</v>
          </cell>
        </row>
        <row r="21">
          <cell r="A21" t="str">
            <v>Mohammad Saifuddin</v>
          </cell>
          <cell r="B21">
            <v>0</v>
          </cell>
        </row>
        <row r="22">
          <cell r="A22" t="str">
            <v>Rohit Sharma</v>
          </cell>
          <cell r="B22">
            <v>0</v>
          </cell>
        </row>
        <row r="23">
          <cell r="A23" t="str">
            <v>Andre russel</v>
          </cell>
          <cell r="B23">
            <v>0</v>
          </cell>
        </row>
        <row r="24">
          <cell r="A24" t="str">
            <v>Kagiso Rabada</v>
          </cell>
          <cell r="B24">
            <v>0</v>
          </cell>
        </row>
        <row r="25">
          <cell r="A25" t="str">
            <v>Trent Boult</v>
          </cell>
          <cell r="B25">
            <v>0</v>
          </cell>
        </row>
        <row r="26">
          <cell r="A26" t="str">
            <v>Steve Smith</v>
          </cell>
          <cell r="B26">
            <v>0</v>
          </cell>
        </row>
        <row r="27">
          <cell r="A27" t="str">
            <v>David Warner</v>
          </cell>
          <cell r="B27">
            <v>0</v>
          </cell>
        </row>
        <row r="28">
          <cell r="A28" t="str">
            <v>Jasprit Bumrah</v>
          </cell>
          <cell r="B28">
            <v>0</v>
          </cell>
        </row>
        <row r="29">
          <cell r="A29" t="str">
            <v>Hasan Ali</v>
          </cell>
          <cell r="B29">
            <v>0</v>
          </cell>
        </row>
        <row r="30">
          <cell r="A30" t="str">
            <v>Jason Holder (C)</v>
          </cell>
          <cell r="B30">
            <v>0</v>
          </cell>
        </row>
        <row r="31">
          <cell r="A31" t="str">
            <v>Kane Williamson (C)</v>
          </cell>
          <cell r="B31">
            <v>0</v>
          </cell>
        </row>
        <row r="32">
          <cell r="A32" t="str">
            <v>Babar Azam</v>
          </cell>
          <cell r="B32">
            <v>0</v>
          </cell>
        </row>
        <row r="33">
          <cell r="A33" t="str">
            <v>Chris Morris</v>
          </cell>
          <cell r="B33">
            <v>0</v>
          </cell>
        </row>
        <row r="34">
          <cell r="A34" t="str">
            <v>Ross Taylor</v>
          </cell>
          <cell r="B34">
            <v>0</v>
          </cell>
        </row>
        <row r="35">
          <cell r="A35" t="str">
            <v>Joe Root</v>
          </cell>
          <cell r="B35">
            <v>22</v>
          </cell>
        </row>
        <row r="36">
          <cell r="A36" t="str">
            <v>Rashid Khan</v>
          </cell>
          <cell r="B36">
            <v>0</v>
          </cell>
        </row>
        <row r="37">
          <cell r="A37" t="str">
            <v>Tamim Iqbal</v>
          </cell>
          <cell r="B37">
            <v>0</v>
          </cell>
        </row>
        <row r="38">
          <cell r="A38" t="str">
            <v>Bhuvneshwar Kumar</v>
          </cell>
          <cell r="B38">
            <v>0</v>
          </cell>
        </row>
        <row r="39">
          <cell r="A39" t="str">
            <v>name</v>
          </cell>
          <cell r="B39">
            <v>0</v>
          </cell>
        </row>
        <row r="40">
          <cell r="A40" t="str">
            <v>Jason Roy</v>
          </cell>
          <cell r="B40">
            <v>29</v>
          </cell>
        </row>
        <row r="41">
          <cell r="A41" t="str">
            <v>Faf du Plessis (C)</v>
          </cell>
          <cell r="B41">
            <v>0</v>
          </cell>
        </row>
        <row r="42">
          <cell r="A42" t="str">
            <v>Mujeeb Ur Rahman</v>
          </cell>
          <cell r="B42">
            <v>0</v>
          </cell>
        </row>
        <row r="43">
          <cell r="A43" t="str">
            <v>Virat Kohli (C)</v>
          </cell>
          <cell r="B43">
            <v>0</v>
          </cell>
        </row>
        <row r="44">
          <cell r="A44" t="str">
            <v>team points:</v>
          </cell>
        </row>
        <row r="45">
          <cell r="A45">
            <v>0</v>
          </cell>
        </row>
        <row r="46">
          <cell r="A46" t="str">
            <v>----------------------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C150"/>
  <sheetViews>
    <sheetView zoomScaleNormal="100" workbookViewId="0">
      <selection activeCell="J153" sqref="J153"/>
    </sheetView>
  </sheetViews>
  <sheetFormatPr defaultRowHeight="12.75" x14ac:dyDescent="0.2"/>
  <cols>
    <col min="1" max="1" width="24.42578125" style="10" customWidth="1"/>
    <col min="2" max="2" width="24" style="10" customWidth="1"/>
    <col min="3" max="3" width="17.140625" style="10" customWidth="1"/>
  </cols>
  <sheetData>
    <row r="1" spans="1:3" ht="18" x14ac:dyDescent="0.25">
      <c r="A1" s="17" t="s">
        <v>158</v>
      </c>
      <c r="B1" s="17" t="s">
        <v>159</v>
      </c>
      <c r="C1" s="17" t="s">
        <v>160</v>
      </c>
    </row>
    <row r="2" spans="1:3" ht="15" hidden="1" x14ac:dyDescent="0.2">
      <c r="A2" s="1" t="s">
        <v>0</v>
      </c>
      <c r="B2" s="1" t="s">
        <v>1</v>
      </c>
      <c r="C2" s="1" t="s">
        <v>161</v>
      </c>
    </row>
    <row r="3" spans="1:3" ht="15" hidden="1" x14ac:dyDescent="0.2">
      <c r="A3" s="1" t="s">
        <v>2</v>
      </c>
      <c r="B3" s="1" t="s">
        <v>1</v>
      </c>
      <c r="C3" s="1" t="s">
        <v>161</v>
      </c>
    </row>
    <row r="4" spans="1:3" ht="15" hidden="1" x14ac:dyDescent="0.2">
      <c r="A4" s="1" t="s">
        <v>3</v>
      </c>
      <c r="B4" s="1" t="s">
        <v>1</v>
      </c>
      <c r="C4" s="1" t="s">
        <v>161</v>
      </c>
    </row>
    <row r="5" spans="1:3" ht="15" hidden="1" x14ac:dyDescent="0.2">
      <c r="A5" s="1" t="s">
        <v>4</v>
      </c>
      <c r="B5" s="1" t="s">
        <v>1</v>
      </c>
      <c r="C5" s="1" t="s">
        <v>162</v>
      </c>
    </row>
    <row r="6" spans="1:3" ht="15" hidden="1" x14ac:dyDescent="0.2">
      <c r="A6" s="1" t="s">
        <v>5</v>
      </c>
      <c r="B6" s="1" t="s">
        <v>1</v>
      </c>
      <c r="C6" s="1" t="s">
        <v>162</v>
      </c>
    </row>
    <row r="7" spans="1:3" ht="15" hidden="1" x14ac:dyDescent="0.2">
      <c r="A7" s="1" t="s">
        <v>6</v>
      </c>
      <c r="B7" s="1" t="s">
        <v>1</v>
      </c>
      <c r="C7" s="1" t="s">
        <v>162</v>
      </c>
    </row>
    <row r="8" spans="1:3" ht="15" hidden="1" x14ac:dyDescent="0.2">
      <c r="A8" s="1" t="s">
        <v>7</v>
      </c>
      <c r="B8" s="1" t="s">
        <v>1</v>
      </c>
      <c r="C8" s="1" t="s">
        <v>163</v>
      </c>
    </row>
    <row r="9" spans="1:3" ht="15" hidden="1" x14ac:dyDescent="0.2">
      <c r="A9" s="1" t="s">
        <v>8</v>
      </c>
      <c r="B9" s="1" t="s">
        <v>1</v>
      </c>
      <c r="C9" s="1" t="s">
        <v>163</v>
      </c>
    </row>
    <row r="10" spans="1:3" ht="15" hidden="1" x14ac:dyDescent="0.2">
      <c r="A10" s="1" t="s">
        <v>9</v>
      </c>
      <c r="B10" s="1" t="s">
        <v>1</v>
      </c>
      <c r="C10" s="1" t="s">
        <v>164</v>
      </c>
    </row>
    <row r="11" spans="1:3" ht="15" hidden="1" x14ac:dyDescent="0.2">
      <c r="A11" s="1" t="s">
        <v>10</v>
      </c>
      <c r="B11" s="1" t="s">
        <v>1</v>
      </c>
      <c r="C11" s="1" t="s">
        <v>164</v>
      </c>
    </row>
    <row r="12" spans="1:3" ht="15" hidden="1" x14ac:dyDescent="0.2">
      <c r="A12" s="1" t="s">
        <v>11</v>
      </c>
      <c r="B12" s="1" t="s">
        <v>1</v>
      </c>
      <c r="C12" s="1" t="s">
        <v>164</v>
      </c>
    </row>
    <row r="13" spans="1:3" ht="15" hidden="1" x14ac:dyDescent="0.2">
      <c r="A13" s="1" t="s">
        <v>12</v>
      </c>
      <c r="B13" s="1" t="s">
        <v>1</v>
      </c>
      <c r="C13" s="1" t="s">
        <v>165</v>
      </c>
    </row>
    <row r="14" spans="1:3" ht="15" hidden="1" x14ac:dyDescent="0.2">
      <c r="A14" s="1" t="s">
        <v>13</v>
      </c>
      <c r="B14" s="1" t="s">
        <v>1</v>
      </c>
      <c r="C14" s="1" t="s">
        <v>166</v>
      </c>
    </row>
    <row r="15" spans="1:3" ht="15" hidden="1" x14ac:dyDescent="0.2">
      <c r="A15" s="1" t="s">
        <v>14</v>
      </c>
      <c r="B15" s="1" t="s">
        <v>1</v>
      </c>
      <c r="C15" s="1" t="s">
        <v>166</v>
      </c>
    </row>
    <row r="16" spans="1:3" ht="15" hidden="1" x14ac:dyDescent="0.2">
      <c r="A16" s="1" t="s">
        <v>15</v>
      </c>
      <c r="B16" s="1" t="s">
        <v>1</v>
      </c>
      <c r="C16" s="1" t="s">
        <v>166</v>
      </c>
    </row>
    <row r="17" spans="1:3" ht="15" x14ac:dyDescent="0.2">
      <c r="A17" s="1" t="s">
        <v>16</v>
      </c>
      <c r="B17" s="1" t="s">
        <v>1</v>
      </c>
      <c r="C17" s="1" t="s">
        <v>167</v>
      </c>
    </row>
    <row r="18" spans="1:3" ht="15" x14ac:dyDescent="0.2">
      <c r="A18" s="1" t="s">
        <v>17</v>
      </c>
      <c r="B18" s="1" t="s">
        <v>1</v>
      </c>
      <c r="C18" s="1" t="s">
        <v>167</v>
      </c>
    </row>
    <row r="19" spans="1:3" ht="15" x14ac:dyDescent="0.2">
      <c r="A19" s="1" t="s">
        <v>18</v>
      </c>
      <c r="B19" s="1" t="s">
        <v>1</v>
      </c>
      <c r="C19" s="1" t="s">
        <v>167</v>
      </c>
    </row>
    <row r="20" spans="1:3" ht="15" x14ac:dyDescent="0.2">
      <c r="A20" s="1" t="s">
        <v>19</v>
      </c>
      <c r="B20" s="1" t="s">
        <v>1</v>
      </c>
      <c r="C20" s="1" t="s">
        <v>167</v>
      </c>
    </row>
    <row r="21" spans="1:3" ht="15" x14ac:dyDescent="0.2">
      <c r="A21" s="1" t="s">
        <v>20</v>
      </c>
      <c r="B21" s="1" t="s">
        <v>1</v>
      </c>
      <c r="C21" s="1" t="s">
        <v>167</v>
      </c>
    </row>
    <row r="22" spans="1:3" ht="15" x14ac:dyDescent="0.2">
      <c r="A22" s="1" t="s">
        <v>21</v>
      </c>
      <c r="B22" s="1" t="s">
        <v>1</v>
      </c>
      <c r="C22" s="1" t="s">
        <v>167</v>
      </c>
    </row>
    <row r="23" spans="1:3" ht="15" hidden="1" x14ac:dyDescent="0.2">
      <c r="A23" s="1" t="s">
        <v>22</v>
      </c>
      <c r="B23" s="1" t="s">
        <v>1</v>
      </c>
      <c r="C23" s="1" t="s">
        <v>168</v>
      </c>
    </row>
    <row r="24" spans="1:3" ht="15" hidden="1" x14ac:dyDescent="0.2">
      <c r="A24" s="1" t="s">
        <v>23</v>
      </c>
      <c r="B24" s="1" t="s">
        <v>1</v>
      </c>
      <c r="C24" s="1" t="s">
        <v>168</v>
      </c>
    </row>
    <row r="25" spans="1:3" ht="15" hidden="1" x14ac:dyDescent="0.2">
      <c r="A25" s="1" t="s">
        <v>24</v>
      </c>
      <c r="B25" s="1" t="s">
        <v>1</v>
      </c>
      <c r="C25" s="1" t="s">
        <v>168</v>
      </c>
    </row>
    <row r="26" spans="1:3" ht="15" hidden="1" x14ac:dyDescent="0.2">
      <c r="A26" s="1" t="s">
        <v>169</v>
      </c>
      <c r="B26" s="1" t="s">
        <v>170</v>
      </c>
      <c r="C26" s="1" t="s">
        <v>166</v>
      </c>
    </row>
    <row r="27" spans="1:3" ht="15" hidden="1" x14ac:dyDescent="0.2">
      <c r="A27" s="1" t="s">
        <v>25</v>
      </c>
      <c r="B27" s="1" t="s">
        <v>26</v>
      </c>
      <c r="C27" s="1" t="s">
        <v>171</v>
      </c>
    </row>
    <row r="28" spans="1:3" ht="15" hidden="1" x14ac:dyDescent="0.2">
      <c r="A28" s="1" t="s">
        <v>27</v>
      </c>
      <c r="B28" s="1" t="s">
        <v>26</v>
      </c>
      <c r="C28" s="1" t="s">
        <v>163</v>
      </c>
    </row>
    <row r="29" spans="1:3" ht="15" hidden="1" x14ac:dyDescent="0.2">
      <c r="A29" s="1" t="s">
        <v>28</v>
      </c>
      <c r="B29" s="1" t="s">
        <v>26</v>
      </c>
      <c r="C29" s="1" t="s">
        <v>164</v>
      </c>
    </row>
    <row r="30" spans="1:3" ht="15" hidden="1" x14ac:dyDescent="0.2">
      <c r="A30" s="1" t="s">
        <v>29</v>
      </c>
      <c r="B30" s="1" t="s">
        <v>26</v>
      </c>
      <c r="C30" s="1" t="s">
        <v>165</v>
      </c>
    </row>
    <row r="31" spans="1:3" ht="15" hidden="1" x14ac:dyDescent="0.2">
      <c r="A31" s="1" t="s">
        <v>30</v>
      </c>
      <c r="B31" s="1" t="s">
        <v>26</v>
      </c>
      <c r="C31" s="1" t="s">
        <v>172</v>
      </c>
    </row>
    <row r="32" spans="1:3" ht="15" hidden="1" x14ac:dyDescent="0.2">
      <c r="A32" s="18" t="s">
        <v>31</v>
      </c>
      <c r="B32" s="18" t="s">
        <v>32</v>
      </c>
      <c r="C32" s="18" t="s">
        <v>161</v>
      </c>
    </row>
    <row r="33" spans="1:3" ht="15" hidden="1" x14ac:dyDescent="0.2">
      <c r="A33" s="18" t="s">
        <v>33</v>
      </c>
      <c r="B33" s="18" t="s">
        <v>32</v>
      </c>
      <c r="C33" s="18" t="s">
        <v>161</v>
      </c>
    </row>
    <row r="34" spans="1:3" ht="15" hidden="1" x14ac:dyDescent="0.2">
      <c r="A34" s="18" t="s">
        <v>34</v>
      </c>
      <c r="B34" s="18" t="s">
        <v>32</v>
      </c>
      <c r="C34" s="18" t="s">
        <v>161</v>
      </c>
    </row>
    <row r="35" spans="1:3" ht="15" hidden="1" x14ac:dyDescent="0.2">
      <c r="A35" s="18" t="s">
        <v>35</v>
      </c>
      <c r="B35" s="18" t="s">
        <v>32</v>
      </c>
      <c r="C35" s="18" t="s">
        <v>161</v>
      </c>
    </row>
    <row r="36" spans="1:3" ht="15" hidden="1" x14ac:dyDescent="0.2">
      <c r="A36" s="18" t="s">
        <v>36</v>
      </c>
      <c r="B36" s="18" t="s">
        <v>32</v>
      </c>
      <c r="C36" s="18" t="s">
        <v>161</v>
      </c>
    </row>
    <row r="37" spans="1:3" ht="15" hidden="1" x14ac:dyDescent="0.2">
      <c r="A37" s="18" t="s">
        <v>37</v>
      </c>
      <c r="B37" s="18" t="s">
        <v>32</v>
      </c>
      <c r="C37" s="18" t="s">
        <v>161</v>
      </c>
    </row>
    <row r="38" spans="1:3" ht="15" hidden="1" x14ac:dyDescent="0.2">
      <c r="A38" s="18" t="s">
        <v>38</v>
      </c>
      <c r="B38" s="18" t="s">
        <v>32</v>
      </c>
      <c r="C38" s="18" t="s">
        <v>171</v>
      </c>
    </row>
    <row r="39" spans="1:3" ht="15" hidden="1" x14ac:dyDescent="0.2">
      <c r="A39" s="18" t="s">
        <v>39</v>
      </c>
      <c r="B39" s="18" t="s">
        <v>32</v>
      </c>
      <c r="C39" s="18" t="s">
        <v>171</v>
      </c>
    </row>
    <row r="40" spans="1:3" ht="15" hidden="1" x14ac:dyDescent="0.2">
      <c r="A40" s="18" t="s">
        <v>40</v>
      </c>
      <c r="B40" s="18" t="s">
        <v>32</v>
      </c>
      <c r="C40" s="18" t="s">
        <v>171</v>
      </c>
    </row>
    <row r="41" spans="1:3" ht="15" hidden="1" x14ac:dyDescent="0.2">
      <c r="A41" s="18" t="s">
        <v>41</v>
      </c>
      <c r="B41" s="18" t="s">
        <v>32</v>
      </c>
      <c r="C41" s="18" t="s">
        <v>171</v>
      </c>
    </row>
    <row r="42" spans="1:3" ht="15" hidden="1" x14ac:dyDescent="0.2">
      <c r="A42" s="18" t="s">
        <v>42</v>
      </c>
      <c r="B42" s="18" t="s">
        <v>32</v>
      </c>
      <c r="C42" s="18" t="s">
        <v>171</v>
      </c>
    </row>
    <row r="43" spans="1:3" ht="15" hidden="1" x14ac:dyDescent="0.2">
      <c r="A43" s="18" t="s">
        <v>43</v>
      </c>
      <c r="B43" s="18" t="s">
        <v>32</v>
      </c>
      <c r="C43" s="18" t="s">
        <v>171</v>
      </c>
    </row>
    <row r="44" spans="1:3" ht="15" hidden="1" x14ac:dyDescent="0.2">
      <c r="A44" s="18" t="s">
        <v>44</v>
      </c>
      <c r="B44" s="18" t="s">
        <v>32</v>
      </c>
      <c r="C44" s="18" t="s">
        <v>171</v>
      </c>
    </row>
    <row r="45" spans="1:3" ht="15" hidden="1" x14ac:dyDescent="0.2">
      <c r="A45" s="18" t="s">
        <v>45</v>
      </c>
      <c r="B45" s="18" t="s">
        <v>32</v>
      </c>
      <c r="C45" s="18" t="s">
        <v>162</v>
      </c>
    </row>
    <row r="46" spans="1:3" ht="15" hidden="1" x14ac:dyDescent="0.2">
      <c r="A46" s="18" t="s">
        <v>46</v>
      </c>
      <c r="B46" s="18" t="s">
        <v>32</v>
      </c>
      <c r="C46" s="18" t="s">
        <v>162</v>
      </c>
    </row>
    <row r="47" spans="1:3" ht="15" hidden="1" x14ac:dyDescent="0.2">
      <c r="A47" s="18" t="s">
        <v>47</v>
      </c>
      <c r="B47" s="18" t="s">
        <v>32</v>
      </c>
      <c r="C47" s="18" t="s">
        <v>162</v>
      </c>
    </row>
    <row r="48" spans="1:3" ht="15" hidden="1" x14ac:dyDescent="0.2">
      <c r="A48" s="18" t="s">
        <v>48</v>
      </c>
      <c r="B48" s="18" t="s">
        <v>32</v>
      </c>
      <c r="C48" s="18" t="s">
        <v>162</v>
      </c>
    </row>
    <row r="49" spans="1:3" ht="15" hidden="1" x14ac:dyDescent="0.2">
      <c r="A49" s="18" t="s">
        <v>49</v>
      </c>
      <c r="B49" s="18" t="s">
        <v>32</v>
      </c>
      <c r="C49" s="18" t="s">
        <v>163</v>
      </c>
    </row>
    <row r="50" spans="1:3" ht="15" hidden="1" x14ac:dyDescent="0.2">
      <c r="A50" s="18" t="s">
        <v>50</v>
      </c>
      <c r="B50" s="18" t="s">
        <v>32</v>
      </c>
      <c r="C50" s="18" t="s">
        <v>163</v>
      </c>
    </row>
    <row r="51" spans="1:3" ht="15" hidden="1" x14ac:dyDescent="0.2">
      <c r="A51" s="18" t="s">
        <v>51</v>
      </c>
      <c r="B51" s="18" t="s">
        <v>32</v>
      </c>
      <c r="C51" s="18" t="s">
        <v>163</v>
      </c>
    </row>
    <row r="52" spans="1:3" ht="15" hidden="1" x14ac:dyDescent="0.2">
      <c r="A52" s="18" t="s">
        <v>52</v>
      </c>
      <c r="B52" s="18" t="s">
        <v>32</v>
      </c>
      <c r="C52" s="18" t="s">
        <v>163</v>
      </c>
    </row>
    <row r="53" spans="1:3" ht="15" hidden="1" x14ac:dyDescent="0.2">
      <c r="A53" s="18" t="s">
        <v>53</v>
      </c>
      <c r="B53" s="18" t="s">
        <v>32</v>
      </c>
      <c r="C53" s="18" t="s">
        <v>164</v>
      </c>
    </row>
    <row r="54" spans="1:3" ht="15" hidden="1" x14ac:dyDescent="0.2">
      <c r="A54" s="18" t="s">
        <v>54</v>
      </c>
      <c r="B54" s="18" t="s">
        <v>32</v>
      </c>
      <c r="C54" s="18" t="s">
        <v>164</v>
      </c>
    </row>
    <row r="55" spans="1:3" ht="15" hidden="1" x14ac:dyDescent="0.2">
      <c r="A55" s="18" t="s">
        <v>55</v>
      </c>
      <c r="B55" s="18" t="s">
        <v>32</v>
      </c>
      <c r="C55" s="18" t="s">
        <v>164</v>
      </c>
    </row>
    <row r="56" spans="1:3" ht="15" hidden="1" x14ac:dyDescent="0.2">
      <c r="A56" s="18" t="s">
        <v>56</v>
      </c>
      <c r="B56" s="18" t="s">
        <v>32</v>
      </c>
      <c r="C56" s="18" t="s">
        <v>164</v>
      </c>
    </row>
    <row r="57" spans="1:3" ht="15" hidden="1" x14ac:dyDescent="0.2">
      <c r="A57" s="18" t="s">
        <v>57</v>
      </c>
      <c r="B57" s="18" t="s">
        <v>32</v>
      </c>
      <c r="C57" s="18" t="s">
        <v>164</v>
      </c>
    </row>
    <row r="58" spans="1:3" ht="15" hidden="1" x14ac:dyDescent="0.2">
      <c r="A58" s="18" t="s">
        <v>58</v>
      </c>
      <c r="B58" s="18" t="s">
        <v>32</v>
      </c>
      <c r="C58" s="18" t="s">
        <v>165</v>
      </c>
    </row>
    <row r="59" spans="1:3" ht="15" hidden="1" x14ac:dyDescent="0.2">
      <c r="A59" s="18" t="s">
        <v>59</v>
      </c>
      <c r="B59" s="18" t="s">
        <v>32</v>
      </c>
      <c r="C59" s="18" t="s">
        <v>165</v>
      </c>
    </row>
    <row r="60" spans="1:3" ht="15" hidden="1" x14ac:dyDescent="0.2">
      <c r="A60" s="18" t="s">
        <v>60</v>
      </c>
      <c r="B60" s="18" t="s">
        <v>32</v>
      </c>
      <c r="C60" s="18" t="s">
        <v>165</v>
      </c>
    </row>
    <row r="61" spans="1:3" ht="15" hidden="1" x14ac:dyDescent="0.2">
      <c r="A61" s="18" t="s">
        <v>61</v>
      </c>
      <c r="B61" s="18" t="s">
        <v>32</v>
      </c>
      <c r="C61" s="18" t="s">
        <v>165</v>
      </c>
    </row>
    <row r="62" spans="1:3" ht="15" hidden="1" x14ac:dyDescent="0.2">
      <c r="A62" s="18" t="s">
        <v>62</v>
      </c>
      <c r="B62" s="18" t="s">
        <v>32</v>
      </c>
      <c r="C62" s="18" t="s">
        <v>165</v>
      </c>
    </row>
    <row r="63" spans="1:3" ht="15" hidden="1" x14ac:dyDescent="0.2">
      <c r="A63" s="18" t="s">
        <v>63</v>
      </c>
      <c r="B63" s="18" t="s">
        <v>32</v>
      </c>
      <c r="C63" s="18" t="s">
        <v>166</v>
      </c>
    </row>
    <row r="64" spans="1:3" ht="15" hidden="1" x14ac:dyDescent="0.2">
      <c r="A64" s="18" t="s">
        <v>64</v>
      </c>
      <c r="B64" s="18" t="s">
        <v>32</v>
      </c>
      <c r="C64" s="18" t="s">
        <v>166</v>
      </c>
    </row>
    <row r="65" spans="1:3" ht="15" hidden="1" x14ac:dyDescent="0.2">
      <c r="A65" s="18" t="s">
        <v>65</v>
      </c>
      <c r="B65" s="18" t="s">
        <v>32</v>
      </c>
      <c r="C65" s="18" t="s">
        <v>166</v>
      </c>
    </row>
    <row r="66" spans="1:3" ht="15" hidden="1" x14ac:dyDescent="0.2">
      <c r="A66" s="18" t="s">
        <v>66</v>
      </c>
      <c r="B66" s="18" t="s">
        <v>32</v>
      </c>
      <c r="C66" s="18" t="s">
        <v>166</v>
      </c>
    </row>
    <row r="67" spans="1:3" ht="15" hidden="1" x14ac:dyDescent="0.2">
      <c r="A67" s="18" t="s">
        <v>67</v>
      </c>
      <c r="B67" s="18" t="s">
        <v>32</v>
      </c>
      <c r="C67" s="18" t="s">
        <v>172</v>
      </c>
    </row>
    <row r="68" spans="1:3" ht="15" hidden="1" x14ac:dyDescent="0.2">
      <c r="A68" s="18" t="s">
        <v>68</v>
      </c>
      <c r="B68" s="18" t="s">
        <v>32</v>
      </c>
      <c r="C68" s="18" t="s">
        <v>172</v>
      </c>
    </row>
    <row r="69" spans="1:3" ht="15" hidden="1" x14ac:dyDescent="0.2">
      <c r="A69" s="18" t="s">
        <v>69</v>
      </c>
      <c r="B69" s="18" t="s">
        <v>32</v>
      </c>
      <c r="C69" s="18" t="s">
        <v>172</v>
      </c>
    </row>
    <row r="70" spans="1:3" ht="15" hidden="1" x14ac:dyDescent="0.2">
      <c r="A70" s="18" t="s">
        <v>70</v>
      </c>
      <c r="B70" s="18" t="s">
        <v>32</v>
      </c>
      <c r="C70" s="18" t="s">
        <v>172</v>
      </c>
    </row>
    <row r="71" spans="1:3" ht="15" hidden="1" x14ac:dyDescent="0.2">
      <c r="A71" s="18" t="s">
        <v>71</v>
      </c>
      <c r="B71" s="18" t="s">
        <v>32</v>
      </c>
      <c r="C71" s="18" t="s">
        <v>172</v>
      </c>
    </row>
    <row r="72" spans="1:3" ht="15" hidden="1" x14ac:dyDescent="0.2">
      <c r="A72" s="18" t="s">
        <v>72</v>
      </c>
      <c r="B72" s="18" t="s">
        <v>32</v>
      </c>
      <c r="C72" s="18" t="s">
        <v>172</v>
      </c>
    </row>
    <row r="73" spans="1:3" ht="15" hidden="1" x14ac:dyDescent="0.2">
      <c r="A73" s="18" t="s">
        <v>73</v>
      </c>
      <c r="B73" s="18" t="s">
        <v>32</v>
      </c>
      <c r="C73" s="18" t="s">
        <v>172</v>
      </c>
    </row>
    <row r="74" spans="1:3" ht="15" x14ac:dyDescent="0.2">
      <c r="A74" s="18" t="s">
        <v>74</v>
      </c>
      <c r="B74" s="18" t="s">
        <v>32</v>
      </c>
      <c r="C74" s="18" t="s">
        <v>167</v>
      </c>
    </row>
    <row r="75" spans="1:3" ht="15" x14ac:dyDescent="0.2">
      <c r="A75" s="18" t="s">
        <v>75</v>
      </c>
      <c r="B75" s="18" t="s">
        <v>32</v>
      </c>
      <c r="C75" s="18" t="s">
        <v>167</v>
      </c>
    </row>
    <row r="76" spans="1:3" ht="15" x14ac:dyDescent="0.2">
      <c r="A76" s="18" t="s">
        <v>76</v>
      </c>
      <c r="B76" s="18" t="s">
        <v>32</v>
      </c>
      <c r="C76" s="18" t="s">
        <v>167</v>
      </c>
    </row>
    <row r="77" spans="1:3" ht="15" x14ac:dyDescent="0.2">
      <c r="A77" s="18" t="s">
        <v>77</v>
      </c>
      <c r="B77" s="18" t="s">
        <v>32</v>
      </c>
      <c r="C77" s="18" t="s">
        <v>167</v>
      </c>
    </row>
    <row r="78" spans="1:3" ht="15" hidden="1" x14ac:dyDescent="0.2">
      <c r="A78" s="18" t="s">
        <v>78</v>
      </c>
      <c r="B78" s="18" t="s">
        <v>32</v>
      </c>
      <c r="C78" s="18" t="s">
        <v>168</v>
      </c>
    </row>
    <row r="79" spans="1:3" ht="15" hidden="1" x14ac:dyDescent="0.2">
      <c r="A79" s="18" t="s">
        <v>79</v>
      </c>
      <c r="B79" s="18" t="s">
        <v>32</v>
      </c>
      <c r="C79" s="18" t="s">
        <v>168</v>
      </c>
    </row>
    <row r="80" spans="1:3" ht="15" hidden="1" x14ac:dyDescent="0.2">
      <c r="A80" s="18" t="s">
        <v>80</v>
      </c>
      <c r="B80" s="18" t="s">
        <v>32</v>
      </c>
      <c r="C80" s="18" t="s">
        <v>168</v>
      </c>
    </row>
    <row r="81" spans="1:3" ht="15" hidden="1" x14ac:dyDescent="0.2">
      <c r="A81" s="18" t="s">
        <v>81</v>
      </c>
      <c r="B81" s="18" t="s">
        <v>32</v>
      </c>
      <c r="C81" s="18" t="s">
        <v>168</v>
      </c>
    </row>
    <row r="82" spans="1:3" ht="15" hidden="1" x14ac:dyDescent="0.2">
      <c r="A82" s="18" t="s">
        <v>82</v>
      </c>
      <c r="B82" s="18" t="s">
        <v>32</v>
      </c>
      <c r="C82" s="18" t="s">
        <v>168</v>
      </c>
    </row>
    <row r="83" spans="1:3" ht="15" hidden="1" x14ac:dyDescent="0.2">
      <c r="A83" s="18" t="s">
        <v>83</v>
      </c>
      <c r="B83" s="18" t="s">
        <v>32</v>
      </c>
      <c r="C83" s="18" t="s">
        <v>168</v>
      </c>
    </row>
    <row r="84" spans="1:3" ht="15" hidden="1" x14ac:dyDescent="0.2">
      <c r="A84" s="1" t="s">
        <v>84</v>
      </c>
      <c r="B84" s="1" t="s">
        <v>85</v>
      </c>
      <c r="C84" s="1" t="s">
        <v>162</v>
      </c>
    </row>
    <row r="85" spans="1:3" ht="15" hidden="1" x14ac:dyDescent="0.2">
      <c r="A85" s="1" t="s">
        <v>86</v>
      </c>
      <c r="B85" s="1" t="s">
        <v>85</v>
      </c>
      <c r="C85" s="1" t="s">
        <v>163</v>
      </c>
    </row>
    <row r="86" spans="1:3" ht="15" hidden="1" x14ac:dyDescent="0.2">
      <c r="A86" s="1" t="s">
        <v>87</v>
      </c>
      <c r="B86" s="1" t="s">
        <v>85</v>
      </c>
      <c r="C86" s="1" t="s">
        <v>165</v>
      </c>
    </row>
    <row r="87" spans="1:3" ht="15" hidden="1" x14ac:dyDescent="0.2">
      <c r="A87" s="1" t="s">
        <v>88</v>
      </c>
      <c r="B87" s="1" t="s">
        <v>85</v>
      </c>
      <c r="C87" s="1" t="s">
        <v>166</v>
      </c>
    </row>
    <row r="88" spans="1:3" ht="15" hidden="1" x14ac:dyDescent="0.2">
      <c r="A88" s="1" t="s">
        <v>89</v>
      </c>
      <c r="B88" s="1" t="s">
        <v>85</v>
      </c>
      <c r="C88" s="1" t="s">
        <v>172</v>
      </c>
    </row>
    <row r="89" spans="1:3" ht="15" hidden="1" x14ac:dyDescent="0.2">
      <c r="A89" s="1" t="s">
        <v>90</v>
      </c>
      <c r="B89" s="1" t="s">
        <v>85</v>
      </c>
      <c r="C89" s="1" t="s">
        <v>168</v>
      </c>
    </row>
    <row r="90" spans="1:3" ht="15" hidden="1" x14ac:dyDescent="0.2">
      <c r="A90" s="2" t="s">
        <v>91</v>
      </c>
      <c r="B90" s="2" t="s">
        <v>92</v>
      </c>
      <c r="C90" s="2" t="s">
        <v>161</v>
      </c>
    </row>
    <row r="91" spans="1:3" ht="15" hidden="1" x14ac:dyDescent="0.2">
      <c r="A91" s="2" t="s">
        <v>93</v>
      </c>
      <c r="B91" s="2" t="s">
        <v>92</v>
      </c>
      <c r="C91" s="2" t="s">
        <v>161</v>
      </c>
    </row>
    <row r="92" spans="1:3" ht="15" hidden="1" x14ac:dyDescent="0.2">
      <c r="A92" s="2" t="s">
        <v>94</v>
      </c>
      <c r="B92" s="2" t="s">
        <v>92</v>
      </c>
      <c r="C92" s="2" t="s">
        <v>171</v>
      </c>
    </row>
    <row r="93" spans="1:3" ht="15" hidden="1" x14ac:dyDescent="0.2">
      <c r="A93" s="2" t="s">
        <v>95</v>
      </c>
      <c r="B93" s="2" t="s">
        <v>92</v>
      </c>
      <c r="C93" s="2" t="s">
        <v>171</v>
      </c>
    </row>
    <row r="94" spans="1:3" ht="15" hidden="1" x14ac:dyDescent="0.2">
      <c r="A94" s="2" t="s">
        <v>96</v>
      </c>
      <c r="B94" s="2" t="s">
        <v>92</v>
      </c>
      <c r="C94" s="2" t="s">
        <v>162</v>
      </c>
    </row>
    <row r="95" spans="1:3" ht="15" hidden="1" x14ac:dyDescent="0.2">
      <c r="A95" s="2" t="s">
        <v>97</v>
      </c>
      <c r="B95" s="2" t="s">
        <v>92</v>
      </c>
      <c r="C95" s="2" t="s">
        <v>162</v>
      </c>
    </row>
    <row r="96" spans="1:3" ht="15" hidden="1" x14ac:dyDescent="0.2">
      <c r="A96" s="2" t="s">
        <v>98</v>
      </c>
      <c r="B96" s="2" t="s">
        <v>92</v>
      </c>
      <c r="C96" s="2" t="s">
        <v>162</v>
      </c>
    </row>
    <row r="97" spans="1:3" ht="15" hidden="1" x14ac:dyDescent="0.2">
      <c r="A97" s="2" t="s">
        <v>99</v>
      </c>
      <c r="B97" s="2" t="s">
        <v>92</v>
      </c>
      <c r="C97" s="2" t="s">
        <v>163</v>
      </c>
    </row>
    <row r="98" spans="1:3" ht="15" hidden="1" x14ac:dyDescent="0.2">
      <c r="A98" s="2" t="s">
        <v>100</v>
      </c>
      <c r="B98" s="2" t="s">
        <v>92</v>
      </c>
      <c r="C98" s="2" t="s">
        <v>163</v>
      </c>
    </row>
    <row r="99" spans="1:3" ht="15" hidden="1" x14ac:dyDescent="0.2">
      <c r="A99" s="2" t="s">
        <v>101</v>
      </c>
      <c r="B99" s="2" t="s">
        <v>92</v>
      </c>
      <c r="C99" s="2" t="s">
        <v>163</v>
      </c>
    </row>
    <row r="100" spans="1:3" ht="15" hidden="1" x14ac:dyDescent="0.2">
      <c r="A100" s="2" t="s">
        <v>102</v>
      </c>
      <c r="B100" s="2" t="s">
        <v>92</v>
      </c>
      <c r="C100" s="2" t="s">
        <v>165</v>
      </c>
    </row>
    <row r="101" spans="1:3" ht="15" hidden="1" x14ac:dyDescent="0.2">
      <c r="A101" s="2" t="s">
        <v>103</v>
      </c>
      <c r="B101" s="2" t="s">
        <v>92</v>
      </c>
      <c r="C101" s="2" t="s">
        <v>165</v>
      </c>
    </row>
    <row r="102" spans="1:3" ht="15" hidden="1" x14ac:dyDescent="0.2">
      <c r="A102" s="2" t="s">
        <v>104</v>
      </c>
      <c r="B102" s="2" t="s">
        <v>92</v>
      </c>
      <c r="C102" s="2" t="s">
        <v>166</v>
      </c>
    </row>
    <row r="103" spans="1:3" ht="15" hidden="1" x14ac:dyDescent="0.2">
      <c r="A103" s="2" t="s">
        <v>105</v>
      </c>
      <c r="B103" s="2" t="s">
        <v>92</v>
      </c>
      <c r="C103" s="2" t="s">
        <v>166</v>
      </c>
    </row>
    <row r="104" spans="1:3" ht="15" hidden="1" x14ac:dyDescent="0.2">
      <c r="A104" s="2" t="s">
        <v>106</v>
      </c>
      <c r="B104" s="2" t="s">
        <v>92</v>
      </c>
      <c r="C104" s="2" t="s">
        <v>172</v>
      </c>
    </row>
    <row r="105" spans="1:3" ht="15" hidden="1" x14ac:dyDescent="0.2">
      <c r="A105" s="2" t="s">
        <v>107</v>
      </c>
      <c r="B105" s="2" t="s">
        <v>92</v>
      </c>
      <c r="C105" s="2" t="s">
        <v>172</v>
      </c>
    </row>
    <row r="106" spans="1:3" ht="15" hidden="1" x14ac:dyDescent="0.2">
      <c r="A106" s="2" t="s">
        <v>108</v>
      </c>
      <c r="B106" s="2" t="s">
        <v>109</v>
      </c>
      <c r="C106" s="2" t="s">
        <v>161</v>
      </c>
    </row>
    <row r="107" spans="1:3" ht="15" hidden="1" x14ac:dyDescent="0.2">
      <c r="A107" s="2" t="s">
        <v>110</v>
      </c>
      <c r="B107" s="2" t="s">
        <v>109</v>
      </c>
      <c r="C107" s="2" t="s">
        <v>161</v>
      </c>
    </row>
    <row r="108" spans="1:3" ht="15" hidden="1" x14ac:dyDescent="0.2">
      <c r="A108" s="2" t="s">
        <v>111</v>
      </c>
      <c r="B108" s="2" t="s">
        <v>109</v>
      </c>
      <c r="C108" s="2" t="s">
        <v>171</v>
      </c>
    </row>
    <row r="109" spans="1:3" ht="15" hidden="1" x14ac:dyDescent="0.2">
      <c r="A109" s="2" t="s">
        <v>112</v>
      </c>
      <c r="B109" s="2" t="s">
        <v>109</v>
      </c>
      <c r="C109" s="2" t="s">
        <v>162</v>
      </c>
    </row>
    <row r="110" spans="1:3" ht="15" hidden="1" x14ac:dyDescent="0.2">
      <c r="A110" s="2" t="s">
        <v>113</v>
      </c>
      <c r="B110" s="2" t="s">
        <v>109</v>
      </c>
      <c r="C110" s="2" t="s">
        <v>163</v>
      </c>
    </row>
    <row r="111" spans="1:3" ht="15" hidden="1" x14ac:dyDescent="0.2">
      <c r="A111" s="2" t="s">
        <v>114</v>
      </c>
      <c r="B111" s="2" t="s">
        <v>109</v>
      </c>
      <c r="C111" s="2" t="s">
        <v>164</v>
      </c>
    </row>
    <row r="112" spans="1:3" ht="15" hidden="1" x14ac:dyDescent="0.2">
      <c r="A112" s="2" t="s">
        <v>115</v>
      </c>
      <c r="B112" s="2" t="s">
        <v>109</v>
      </c>
      <c r="C112" s="2" t="s">
        <v>164</v>
      </c>
    </row>
    <row r="113" spans="1:3" ht="15" hidden="1" x14ac:dyDescent="0.2">
      <c r="A113" s="2" t="s">
        <v>116</v>
      </c>
      <c r="B113" s="2" t="s">
        <v>109</v>
      </c>
      <c r="C113" s="2" t="s">
        <v>165</v>
      </c>
    </row>
    <row r="114" spans="1:3" ht="15" hidden="1" x14ac:dyDescent="0.2">
      <c r="A114" s="2" t="s">
        <v>117</v>
      </c>
      <c r="B114" s="2" t="s">
        <v>109</v>
      </c>
      <c r="C114" s="2" t="s">
        <v>166</v>
      </c>
    </row>
    <row r="115" spans="1:3" ht="15" hidden="1" x14ac:dyDescent="0.2">
      <c r="A115" s="2" t="s">
        <v>118</v>
      </c>
      <c r="B115" s="2" t="s">
        <v>109</v>
      </c>
      <c r="C115" s="2" t="s">
        <v>166</v>
      </c>
    </row>
    <row r="116" spans="1:3" ht="15" hidden="1" x14ac:dyDescent="0.2">
      <c r="A116" s="2" t="s">
        <v>119</v>
      </c>
      <c r="B116" s="2" t="s">
        <v>109</v>
      </c>
      <c r="C116" s="2" t="s">
        <v>172</v>
      </c>
    </row>
    <row r="117" spans="1:3" ht="15" hidden="1" x14ac:dyDescent="0.2">
      <c r="A117" s="2" t="s">
        <v>120</v>
      </c>
      <c r="B117" s="2" t="s">
        <v>109</v>
      </c>
      <c r="C117" s="2" t="s">
        <v>172</v>
      </c>
    </row>
    <row r="118" spans="1:3" ht="15" x14ac:dyDescent="0.2">
      <c r="A118" s="2" t="s">
        <v>121</v>
      </c>
      <c r="B118" s="2" t="s">
        <v>109</v>
      </c>
      <c r="C118" s="2" t="s">
        <v>167</v>
      </c>
    </row>
    <row r="119" spans="1:3" ht="15" x14ac:dyDescent="0.2">
      <c r="A119" s="2" t="s">
        <v>122</v>
      </c>
      <c r="B119" s="2" t="s">
        <v>109</v>
      </c>
      <c r="C119" s="2" t="s">
        <v>167</v>
      </c>
    </row>
    <row r="120" spans="1:3" ht="15" hidden="1" x14ac:dyDescent="0.2">
      <c r="A120" s="2" t="s">
        <v>123</v>
      </c>
      <c r="B120" s="2" t="s">
        <v>109</v>
      </c>
      <c r="C120" s="2" t="s">
        <v>168</v>
      </c>
    </row>
    <row r="121" spans="1:3" ht="15" hidden="1" x14ac:dyDescent="0.2">
      <c r="A121" s="2" t="s">
        <v>124</v>
      </c>
      <c r="B121" s="2" t="s">
        <v>125</v>
      </c>
      <c r="C121" s="2" t="s">
        <v>161</v>
      </c>
    </row>
    <row r="122" spans="1:3" ht="15" hidden="1" x14ac:dyDescent="0.2">
      <c r="A122" s="2" t="s">
        <v>126</v>
      </c>
      <c r="B122" s="2" t="s">
        <v>125</v>
      </c>
      <c r="C122" s="2" t="s">
        <v>171</v>
      </c>
    </row>
    <row r="123" spans="1:3" ht="15" hidden="1" x14ac:dyDescent="0.2">
      <c r="A123" s="2" t="s">
        <v>127</v>
      </c>
      <c r="B123" s="2" t="s">
        <v>125</v>
      </c>
      <c r="C123" s="2" t="s">
        <v>171</v>
      </c>
    </row>
    <row r="124" spans="1:3" ht="15" hidden="1" x14ac:dyDescent="0.2">
      <c r="A124" s="2" t="s">
        <v>128</v>
      </c>
      <c r="B124" s="2" t="s">
        <v>125</v>
      </c>
      <c r="C124" s="2" t="s">
        <v>171</v>
      </c>
    </row>
    <row r="125" spans="1:3" ht="15" hidden="1" x14ac:dyDescent="0.2">
      <c r="A125" s="2" t="s">
        <v>129</v>
      </c>
      <c r="B125" s="2" t="s">
        <v>125</v>
      </c>
      <c r="C125" s="2" t="s">
        <v>162</v>
      </c>
    </row>
    <row r="126" spans="1:3" ht="15" hidden="1" x14ac:dyDescent="0.2">
      <c r="A126" s="2" t="s">
        <v>130</v>
      </c>
      <c r="B126" s="2" t="s">
        <v>125</v>
      </c>
      <c r="C126" s="2" t="s">
        <v>163</v>
      </c>
    </row>
    <row r="127" spans="1:3" ht="15" hidden="1" x14ac:dyDescent="0.2">
      <c r="A127" s="2" t="s">
        <v>131</v>
      </c>
      <c r="B127" s="2" t="s">
        <v>125</v>
      </c>
      <c r="C127" s="2" t="s">
        <v>164</v>
      </c>
    </row>
    <row r="128" spans="1:3" ht="15" hidden="1" x14ac:dyDescent="0.2">
      <c r="A128" s="2" t="s">
        <v>132</v>
      </c>
      <c r="B128" s="2" t="s">
        <v>125</v>
      </c>
      <c r="C128" s="2" t="s">
        <v>164</v>
      </c>
    </row>
    <row r="129" spans="1:3" ht="15" hidden="1" x14ac:dyDescent="0.2">
      <c r="A129" s="2" t="s">
        <v>133</v>
      </c>
      <c r="B129" s="2" t="s">
        <v>125</v>
      </c>
      <c r="C129" s="2" t="s">
        <v>165</v>
      </c>
    </row>
    <row r="130" spans="1:3" ht="15" hidden="1" x14ac:dyDescent="0.2">
      <c r="A130" s="2" t="s">
        <v>134</v>
      </c>
      <c r="B130" s="2" t="s">
        <v>125</v>
      </c>
      <c r="C130" s="2" t="s">
        <v>165</v>
      </c>
    </row>
    <row r="131" spans="1:3" ht="15" hidden="1" x14ac:dyDescent="0.2">
      <c r="A131" s="2" t="s">
        <v>135</v>
      </c>
      <c r="B131" s="2" t="s">
        <v>125</v>
      </c>
      <c r="C131" s="2" t="s">
        <v>166</v>
      </c>
    </row>
    <row r="132" spans="1:3" ht="15" hidden="1" x14ac:dyDescent="0.2">
      <c r="A132" s="2" t="s">
        <v>136</v>
      </c>
      <c r="B132" s="2" t="s">
        <v>125</v>
      </c>
      <c r="C132" s="2" t="s">
        <v>172</v>
      </c>
    </row>
    <row r="133" spans="1:3" ht="15" x14ac:dyDescent="0.2">
      <c r="A133" s="2" t="s">
        <v>137</v>
      </c>
      <c r="B133" s="2" t="s">
        <v>125</v>
      </c>
      <c r="C133" s="2" t="s">
        <v>167</v>
      </c>
    </row>
    <row r="134" spans="1:3" ht="15" hidden="1" x14ac:dyDescent="0.2">
      <c r="A134" s="2" t="s">
        <v>138</v>
      </c>
      <c r="B134" s="2" t="s">
        <v>125</v>
      </c>
      <c r="C134" s="2" t="s">
        <v>168</v>
      </c>
    </row>
    <row r="135" spans="1:3" ht="15" hidden="1" x14ac:dyDescent="0.2">
      <c r="A135" s="2" t="s">
        <v>139</v>
      </c>
      <c r="B135" s="2" t="s">
        <v>125</v>
      </c>
      <c r="C135" s="2" t="s">
        <v>168</v>
      </c>
    </row>
    <row r="136" spans="1:3" ht="15" hidden="1" x14ac:dyDescent="0.2">
      <c r="A136" s="3" t="s">
        <v>140</v>
      </c>
      <c r="B136" s="3" t="s">
        <v>141</v>
      </c>
      <c r="C136" s="3" t="s">
        <v>161</v>
      </c>
    </row>
    <row r="137" spans="1:3" ht="15" hidden="1" x14ac:dyDescent="0.2">
      <c r="A137" s="3" t="s">
        <v>142</v>
      </c>
      <c r="B137" s="3" t="s">
        <v>141</v>
      </c>
      <c r="C137" s="3" t="s">
        <v>171</v>
      </c>
    </row>
    <row r="138" spans="1:3" ht="15" hidden="1" x14ac:dyDescent="0.2">
      <c r="A138" s="3" t="s">
        <v>143</v>
      </c>
      <c r="B138" s="3" t="s">
        <v>141</v>
      </c>
      <c r="C138" s="3" t="s">
        <v>162</v>
      </c>
    </row>
    <row r="139" spans="1:3" ht="15" hidden="1" x14ac:dyDescent="0.2">
      <c r="A139" s="3" t="s">
        <v>144</v>
      </c>
      <c r="B139" s="3" t="s">
        <v>141</v>
      </c>
      <c r="C139" s="3" t="s">
        <v>162</v>
      </c>
    </row>
    <row r="140" spans="1:3" ht="15" hidden="1" x14ac:dyDescent="0.2">
      <c r="A140" s="3" t="s">
        <v>145</v>
      </c>
      <c r="B140" s="3" t="s">
        <v>141</v>
      </c>
      <c r="C140" s="3" t="s">
        <v>163</v>
      </c>
    </row>
    <row r="141" spans="1:3" ht="15" hidden="1" x14ac:dyDescent="0.2">
      <c r="A141" s="3" t="s">
        <v>146</v>
      </c>
      <c r="B141" s="3" t="s">
        <v>141</v>
      </c>
      <c r="C141" s="3" t="s">
        <v>164</v>
      </c>
    </row>
    <row r="142" spans="1:3" ht="15" hidden="1" x14ac:dyDescent="0.2">
      <c r="A142" s="3" t="s">
        <v>147</v>
      </c>
      <c r="B142" s="3" t="s">
        <v>141</v>
      </c>
      <c r="C142" s="3" t="s">
        <v>164</v>
      </c>
    </row>
    <row r="143" spans="1:3" ht="15" hidden="1" x14ac:dyDescent="0.2">
      <c r="A143" s="3" t="s">
        <v>148</v>
      </c>
      <c r="B143" s="3" t="s">
        <v>141</v>
      </c>
      <c r="C143" s="3" t="s">
        <v>165</v>
      </c>
    </row>
    <row r="144" spans="1:3" ht="15" hidden="1" x14ac:dyDescent="0.2">
      <c r="A144" s="3" t="s">
        <v>149</v>
      </c>
      <c r="B144" s="3" t="s">
        <v>141</v>
      </c>
      <c r="C144" s="3" t="s">
        <v>165</v>
      </c>
    </row>
    <row r="145" spans="1:3" ht="15" hidden="1" x14ac:dyDescent="0.2">
      <c r="A145" s="3" t="s">
        <v>150</v>
      </c>
      <c r="B145" s="3" t="s">
        <v>141</v>
      </c>
      <c r="C145" s="3" t="s">
        <v>166</v>
      </c>
    </row>
    <row r="146" spans="1:3" ht="15" hidden="1" x14ac:dyDescent="0.2">
      <c r="A146" s="3" t="s">
        <v>151</v>
      </c>
      <c r="B146" s="3" t="s">
        <v>141</v>
      </c>
      <c r="C146" s="3" t="s">
        <v>172</v>
      </c>
    </row>
    <row r="147" spans="1:3" ht="15" x14ac:dyDescent="0.2">
      <c r="A147" s="3" t="s">
        <v>152</v>
      </c>
      <c r="B147" s="3" t="s">
        <v>141</v>
      </c>
      <c r="C147" s="3" t="s">
        <v>167</v>
      </c>
    </row>
    <row r="148" spans="1:3" ht="15" x14ac:dyDescent="0.2">
      <c r="A148" s="3" t="s">
        <v>153</v>
      </c>
      <c r="B148" s="3" t="s">
        <v>141</v>
      </c>
      <c r="C148" s="3" t="s">
        <v>167</v>
      </c>
    </row>
    <row r="149" spans="1:3" ht="15" hidden="1" x14ac:dyDescent="0.2">
      <c r="A149" s="3" t="s">
        <v>154</v>
      </c>
      <c r="B149" s="3" t="s">
        <v>141</v>
      </c>
      <c r="C149" s="3" t="s">
        <v>168</v>
      </c>
    </row>
    <row r="150" spans="1:3" ht="15" hidden="1" x14ac:dyDescent="0.2">
      <c r="A150" s="3" t="s">
        <v>155</v>
      </c>
      <c r="B150" s="3" t="s">
        <v>141</v>
      </c>
      <c r="C150" s="3" t="s">
        <v>168</v>
      </c>
    </row>
  </sheetData>
  <autoFilter ref="A1:C150" xr:uid="{84C54702-CE6B-4662-82B3-7B54331CFFCA}">
    <filterColumn colId="2">
      <filters>
        <filter val="SL"/>
      </filters>
    </filterColumn>
  </autoFilter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J53"/>
  <sheetViews>
    <sheetView workbookViewId="0">
      <selection activeCell="K16" sqref="K16"/>
    </sheetView>
  </sheetViews>
  <sheetFormatPr defaultRowHeight="14.25" x14ac:dyDescent="0.2"/>
  <cols>
    <col min="3" max="3" width="21.85546875" style="4" bestFit="1" customWidth="1"/>
    <col min="4" max="4" width="21.85546875" style="4" customWidth="1"/>
    <col min="5" max="5" width="23.5703125" style="4" bestFit="1" customWidth="1"/>
    <col min="6" max="6" width="22.7109375" style="4" bestFit="1" customWidth="1"/>
    <col min="7" max="7" width="25.42578125" bestFit="1" customWidth="1"/>
    <col min="8" max="8" width="22.5703125" bestFit="1" customWidth="1"/>
    <col min="9" max="9" width="23.140625" bestFit="1" customWidth="1"/>
    <col min="10" max="10" width="24.7109375" bestFit="1" customWidth="1"/>
  </cols>
  <sheetData>
    <row r="1" spans="3:10" s="13" customFormat="1" ht="15.75" x14ac:dyDescent="0.2">
      <c r="C1" s="11" t="s">
        <v>1</v>
      </c>
      <c r="D1" s="12" t="s">
        <v>26</v>
      </c>
      <c r="E1" s="12" t="s">
        <v>85</v>
      </c>
      <c r="F1" s="11" t="s">
        <v>32</v>
      </c>
      <c r="G1" s="11" t="s">
        <v>178</v>
      </c>
      <c r="H1" s="12" t="s">
        <v>109</v>
      </c>
      <c r="I1" s="12" t="s">
        <v>179</v>
      </c>
      <c r="J1" s="12" t="s">
        <v>141</v>
      </c>
    </row>
    <row r="2" spans="3:10" ht="15" x14ac:dyDescent="0.2">
      <c r="C2" s="14" t="s">
        <v>16</v>
      </c>
      <c r="D2" s="15" t="s">
        <v>25</v>
      </c>
      <c r="E2" s="15" t="s">
        <v>89</v>
      </c>
      <c r="F2" s="5" t="s">
        <v>38</v>
      </c>
      <c r="G2" s="2" t="s">
        <v>91</v>
      </c>
      <c r="H2" s="2" t="s">
        <v>117</v>
      </c>
      <c r="I2" s="2" t="s">
        <v>126</v>
      </c>
      <c r="J2" s="2" t="s">
        <v>142</v>
      </c>
    </row>
    <row r="3" spans="3:10" ht="15" x14ac:dyDescent="0.2">
      <c r="C3" s="14" t="s">
        <v>22</v>
      </c>
      <c r="D3" s="15" t="s">
        <v>29</v>
      </c>
      <c r="E3" s="15" t="s">
        <v>88</v>
      </c>
      <c r="F3" s="5" t="s">
        <v>45</v>
      </c>
      <c r="G3" s="2" t="s">
        <v>102</v>
      </c>
      <c r="H3" s="2" t="s">
        <v>119</v>
      </c>
      <c r="I3" s="2" t="s">
        <v>138</v>
      </c>
      <c r="J3" s="2" t="s">
        <v>152</v>
      </c>
    </row>
    <row r="4" spans="3:10" ht="15" x14ac:dyDescent="0.2">
      <c r="C4" s="14" t="s">
        <v>7</v>
      </c>
      <c r="D4" s="15" t="s">
        <v>30</v>
      </c>
      <c r="E4" s="15" t="s">
        <v>90</v>
      </c>
      <c r="F4" s="5" t="s">
        <v>31</v>
      </c>
      <c r="G4" s="2" t="s">
        <v>106</v>
      </c>
      <c r="H4" s="2" t="s">
        <v>111</v>
      </c>
      <c r="I4" s="2" t="s">
        <v>124</v>
      </c>
      <c r="J4" s="2" t="s">
        <v>145</v>
      </c>
    </row>
    <row r="5" spans="3:10" ht="15" x14ac:dyDescent="0.2">
      <c r="C5" s="14" t="s">
        <v>17</v>
      </c>
      <c r="D5" s="15" t="s">
        <v>28</v>
      </c>
      <c r="E5" s="15" t="s">
        <v>87</v>
      </c>
      <c r="F5" s="5" t="s">
        <v>67</v>
      </c>
      <c r="G5" s="2" t="s">
        <v>99</v>
      </c>
      <c r="H5" s="2" t="s">
        <v>123</v>
      </c>
      <c r="I5" s="2" t="s">
        <v>137</v>
      </c>
      <c r="J5" s="2" t="s">
        <v>146</v>
      </c>
    </row>
    <row r="6" spans="3:10" ht="15" x14ac:dyDescent="0.2">
      <c r="C6" s="14" t="s">
        <v>12</v>
      </c>
      <c r="D6" s="15" t="s">
        <v>27</v>
      </c>
      <c r="E6" s="15" t="s">
        <v>84</v>
      </c>
      <c r="F6" s="5" t="s">
        <v>78</v>
      </c>
      <c r="G6" s="2" t="s">
        <v>107</v>
      </c>
      <c r="H6" s="2" t="s">
        <v>118</v>
      </c>
      <c r="I6" s="2" t="s">
        <v>136</v>
      </c>
      <c r="J6" s="2" t="s">
        <v>143</v>
      </c>
    </row>
    <row r="7" spans="3:10" ht="15" x14ac:dyDescent="0.2">
      <c r="C7" s="14" t="s">
        <v>23</v>
      </c>
      <c r="D7" s="14"/>
      <c r="E7" s="15" t="s">
        <v>86</v>
      </c>
      <c r="F7" s="5" t="s">
        <v>49</v>
      </c>
      <c r="G7" s="2" t="s">
        <v>104</v>
      </c>
      <c r="H7" s="2" t="s">
        <v>121</v>
      </c>
      <c r="I7" s="2" t="s">
        <v>133</v>
      </c>
      <c r="J7" s="2" t="s">
        <v>153</v>
      </c>
    </row>
    <row r="8" spans="3:10" ht="15" x14ac:dyDescent="0.2">
      <c r="C8" s="14" t="s">
        <v>24</v>
      </c>
      <c r="D8" s="14"/>
      <c r="E8" s="14"/>
      <c r="F8" s="5" t="s">
        <v>53</v>
      </c>
      <c r="G8" s="2" t="s">
        <v>100</v>
      </c>
      <c r="H8" s="2" t="s">
        <v>108</v>
      </c>
      <c r="I8" s="2" t="s">
        <v>135</v>
      </c>
      <c r="J8" s="2" t="s">
        <v>140</v>
      </c>
    </row>
    <row r="9" spans="3:10" ht="15" x14ac:dyDescent="0.2">
      <c r="C9" s="14" t="s">
        <v>8</v>
      </c>
      <c r="D9" s="14"/>
      <c r="E9" s="14"/>
      <c r="F9" s="5" t="s">
        <v>50</v>
      </c>
      <c r="G9" s="2" t="s">
        <v>101</v>
      </c>
      <c r="H9" s="2" t="s">
        <v>120</v>
      </c>
      <c r="I9" s="2" t="s">
        <v>130</v>
      </c>
      <c r="J9" s="2" t="s">
        <v>147</v>
      </c>
    </row>
    <row r="10" spans="3:10" ht="15" x14ac:dyDescent="0.2">
      <c r="C10" s="14" t="s">
        <v>18</v>
      </c>
      <c r="D10" s="14"/>
      <c r="E10" s="14"/>
      <c r="F10" s="5" t="s">
        <v>68</v>
      </c>
      <c r="G10" s="2" t="s">
        <v>103</v>
      </c>
      <c r="H10" s="2" t="s">
        <v>113</v>
      </c>
      <c r="I10" s="2" t="s">
        <v>134</v>
      </c>
      <c r="J10" s="2" t="s">
        <v>144</v>
      </c>
    </row>
    <row r="11" spans="3:10" ht="15" x14ac:dyDescent="0.2">
      <c r="C11" s="14" t="s">
        <v>9</v>
      </c>
      <c r="D11" s="14"/>
      <c r="E11" s="14"/>
      <c r="F11" s="5" t="s">
        <v>33</v>
      </c>
      <c r="G11" s="2" t="s">
        <v>96</v>
      </c>
      <c r="H11" s="2" t="s">
        <v>114</v>
      </c>
      <c r="I11" s="2" t="s">
        <v>129</v>
      </c>
      <c r="J11" s="2" t="s">
        <v>154</v>
      </c>
    </row>
    <row r="12" spans="3:10" ht="15" x14ac:dyDescent="0.2">
      <c r="C12" s="14" t="s">
        <v>19</v>
      </c>
      <c r="D12" s="14"/>
      <c r="E12" s="14"/>
      <c r="F12" s="5" t="s">
        <v>69</v>
      </c>
      <c r="G12" s="2" t="s">
        <v>94</v>
      </c>
      <c r="H12" s="2" t="s">
        <v>116</v>
      </c>
      <c r="I12" s="2" t="s">
        <v>131</v>
      </c>
      <c r="J12" s="2" t="s">
        <v>151</v>
      </c>
    </row>
    <row r="13" spans="3:10" ht="15" x14ac:dyDescent="0.2">
      <c r="C13" s="14" t="s">
        <v>13</v>
      </c>
      <c r="D13" s="14"/>
      <c r="E13" s="14"/>
      <c r="F13" s="5" t="s">
        <v>79</v>
      </c>
      <c r="G13" s="2" t="s">
        <v>93</v>
      </c>
      <c r="H13" s="2" t="s">
        <v>110</v>
      </c>
      <c r="I13" s="2" t="s">
        <v>127</v>
      </c>
      <c r="J13" s="2" t="s">
        <v>150</v>
      </c>
    </row>
    <row r="14" spans="3:10" ht="15" x14ac:dyDescent="0.2">
      <c r="C14" s="14" t="s">
        <v>4</v>
      </c>
      <c r="D14" s="14"/>
      <c r="E14" s="14"/>
      <c r="F14" s="5" t="s">
        <v>34</v>
      </c>
      <c r="G14" s="2" t="s">
        <v>97</v>
      </c>
      <c r="H14" s="2" t="s">
        <v>115</v>
      </c>
      <c r="I14" s="2" t="s">
        <v>139</v>
      </c>
      <c r="J14" s="2" t="s">
        <v>155</v>
      </c>
    </row>
    <row r="15" spans="3:10" ht="15" x14ac:dyDescent="0.2">
      <c r="C15" s="14" t="s">
        <v>5</v>
      </c>
      <c r="D15" s="14"/>
      <c r="E15" s="14"/>
      <c r="F15" s="5" t="s">
        <v>35</v>
      </c>
      <c r="G15" s="2" t="s">
        <v>105</v>
      </c>
      <c r="H15" s="2" t="s">
        <v>112</v>
      </c>
      <c r="I15" s="2" t="s">
        <v>128</v>
      </c>
      <c r="J15" s="2" t="s">
        <v>148</v>
      </c>
    </row>
    <row r="16" spans="3:10" ht="15" x14ac:dyDescent="0.2">
      <c r="C16" s="14" t="s">
        <v>14</v>
      </c>
      <c r="D16" s="14"/>
      <c r="E16" s="14"/>
      <c r="F16" s="5" t="s">
        <v>63</v>
      </c>
      <c r="G16" s="2" t="s">
        <v>98</v>
      </c>
      <c r="H16" s="2" t="s">
        <v>122</v>
      </c>
      <c r="I16" s="2" t="s">
        <v>132</v>
      </c>
      <c r="J16" s="2" t="s">
        <v>149</v>
      </c>
    </row>
    <row r="17" spans="3:7" ht="15" x14ac:dyDescent="0.2">
      <c r="C17" s="14" t="s">
        <v>0</v>
      </c>
      <c r="D17" s="14"/>
      <c r="E17" s="14"/>
      <c r="F17" s="5" t="s">
        <v>70</v>
      </c>
      <c r="G17" s="2" t="s">
        <v>95</v>
      </c>
    </row>
    <row r="18" spans="3:7" x14ac:dyDescent="0.2">
      <c r="C18" s="14" t="s">
        <v>20</v>
      </c>
      <c r="D18" s="14"/>
      <c r="E18" s="14"/>
      <c r="F18" s="5" t="s">
        <v>58</v>
      </c>
      <c r="G18" s="16"/>
    </row>
    <row r="19" spans="3:7" x14ac:dyDescent="0.2">
      <c r="C19" s="14" t="s">
        <v>10</v>
      </c>
      <c r="D19" s="14"/>
      <c r="E19" s="14"/>
      <c r="F19" s="5" t="s">
        <v>74</v>
      </c>
      <c r="G19" s="16"/>
    </row>
    <row r="20" spans="3:7" x14ac:dyDescent="0.2">
      <c r="C20" s="14" t="s">
        <v>2</v>
      </c>
      <c r="D20" s="14"/>
      <c r="E20" s="14"/>
      <c r="F20" s="5" t="s">
        <v>54</v>
      </c>
      <c r="G20" s="16"/>
    </row>
    <row r="21" spans="3:7" x14ac:dyDescent="0.2">
      <c r="C21" s="14" t="s">
        <v>3</v>
      </c>
      <c r="D21" s="14"/>
      <c r="E21" s="14"/>
      <c r="F21" s="5" t="s">
        <v>39</v>
      </c>
    </row>
    <row r="22" spans="3:7" x14ac:dyDescent="0.2">
      <c r="C22" s="14" t="s">
        <v>15</v>
      </c>
      <c r="D22" s="14"/>
      <c r="E22" s="14"/>
      <c r="F22" s="5" t="s">
        <v>64</v>
      </c>
    </row>
    <row r="23" spans="3:7" x14ac:dyDescent="0.2">
      <c r="C23" s="14" t="s">
        <v>6</v>
      </c>
      <c r="D23" s="14"/>
      <c r="E23" s="14"/>
      <c r="F23" s="5" t="s">
        <v>71</v>
      </c>
      <c r="G23" s="16"/>
    </row>
    <row r="24" spans="3:7" x14ac:dyDescent="0.2">
      <c r="C24" s="14" t="s">
        <v>21</v>
      </c>
      <c r="D24" s="14"/>
      <c r="E24" s="14"/>
      <c r="F24" s="5" t="s">
        <v>80</v>
      </c>
      <c r="G24" s="16"/>
    </row>
    <row r="25" spans="3:7" x14ac:dyDescent="0.2">
      <c r="C25" s="14" t="s">
        <v>11</v>
      </c>
      <c r="D25" s="14"/>
      <c r="E25" s="14"/>
      <c r="F25" s="5" t="s">
        <v>55</v>
      </c>
      <c r="G25" s="16"/>
    </row>
    <row r="26" spans="3:7" x14ac:dyDescent="0.2">
      <c r="F26" s="5" t="s">
        <v>40</v>
      </c>
    </row>
    <row r="27" spans="3:7" x14ac:dyDescent="0.2">
      <c r="F27" s="5" t="s">
        <v>72</v>
      </c>
    </row>
    <row r="28" spans="3:7" x14ac:dyDescent="0.2">
      <c r="F28" s="5" t="s">
        <v>51</v>
      </c>
    </row>
    <row r="29" spans="3:7" x14ac:dyDescent="0.2">
      <c r="F29" s="5" t="s">
        <v>59</v>
      </c>
    </row>
    <row r="30" spans="3:7" x14ac:dyDescent="0.2">
      <c r="F30" s="5" t="s">
        <v>41</v>
      </c>
    </row>
    <row r="31" spans="3:7" x14ac:dyDescent="0.2">
      <c r="F31" s="5" t="s">
        <v>52</v>
      </c>
    </row>
    <row r="32" spans="3:7" x14ac:dyDescent="0.2">
      <c r="F32" s="5" t="s">
        <v>46</v>
      </c>
    </row>
    <row r="33" spans="6:6" x14ac:dyDescent="0.2">
      <c r="F33" s="5" t="s">
        <v>60</v>
      </c>
    </row>
    <row r="34" spans="6:6" x14ac:dyDescent="0.2">
      <c r="F34" s="5" t="s">
        <v>65</v>
      </c>
    </row>
    <row r="35" spans="6:6" x14ac:dyDescent="0.2">
      <c r="F35" s="5" t="s">
        <v>56</v>
      </c>
    </row>
    <row r="36" spans="6:6" x14ac:dyDescent="0.2">
      <c r="F36" s="5" t="s">
        <v>36</v>
      </c>
    </row>
    <row r="37" spans="6:6" x14ac:dyDescent="0.2">
      <c r="F37" s="5" t="s">
        <v>47</v>
      </c>
    </row>
    <row r="38" spans="6:6" x14ac:dyDescent="0.2">
      <c r="F38" s="5" t="s">
        <v>75</v>
      </c>
    </row>
    <row r="39" spans="6:6" x14ac:dyDescent="0.2">
      <c r="F39" s="5" t="s">
        <v>42</v>
      </c>
    </row>
    <row r="40" spans="6:6" x14ac:dyDescent="0.2">
      <c r="F40" s="5" t="s">
        <v>43</v>
      </c>
    </row>
    <row r="41" spans="6:6" x14ac:dyDescent="0.2">
      <c r="F41" s="5" t="s">
        <v>81</v>
      </c>
    </row>
    <row r="42" spans="6:6" x14ac:dyDescent="0.2">
      <c r="F42" s="5" t="s">
        <v>44</v>
      </c>
    </row>
    <row r="43" spans="6:6" x14ac:dyDescent="0.2">
      <c r="F43" s="5" t="s">
        <v>76</v>
      </c>
    </row>
    <row r="44" spans="6:6" x14ac:dyDescent="0.2">
      <c r="F44" s="5" t="s">
        <v>37</v>
      </c>
    </row>
    <row r="45" spans="6:6" x14ac:dyDescent="0.2">
      <c r="F45" s="5" t="s">
        <v>48</v>
      </c>
    </row>
    <row r="46" spans="6:6" x14ac:dyDescent="0.2">
      <c r="F46" s="5" t="s">
        <v>66</v>
      </c>
    </row>
    <row r="47" spans="6:6" x14ac:dyDescent="0.2">
      <c r="F47" s="5" t="s">
        <v>77</v>
      </c>
    </row>
    <row r="48" spans="6:6" x14ac:dyDescent="0.2">
      <c r="F48" s="5" t="s">
        <v>82</v>
      </c>
    </row>
    <row r="49" spans="6:6" x14ac:dyDescent="0.2">
      <c r="F49" s="5" t="s">
        <v>83</v>
      </c>
    </row>
    <row r="50" spans="6:6" x14ac:dyDescent="0.2">
      <c r="F50" s="5" t="s">
        <v>73</v>
      </c>
    </row>
    <row r="51" spans="6:6" x14ac:dyDescent="0.2">
      <c r="F51" s="5" t="s">
        <v>61</v>
      </c>
    </row>
    <row r="52" spans="6:6" x14ac:dyDescent="0.2">
      <c r="F52" s="5" t="s">
        <v>62</v>
      </c>
    </row>
    <row r="53" spans="6:6" x14ac:dyDescent="0.2">
      <c r="F53" s="5" t="s">
        <v>57</v>
      </c>
    </row>
  </sheetData>
  <sortState xmlns:xlrd2="http://schemas.microsoft.com/office/spreadsheetml/2017/richdata2" ref="J2:J16">
    <sortCondition ref="J2"/>
  </sortState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3"/>
  <sheetViews>
    <sheetView workbookViewId="0">
      <selection activeCell="H2" sqref="H2:K15"/>
    </sheetView>
  </sheetViews>
  <sheetFormatPr defaultRowHeight="18" x14ac:dyDescent="0.2"/>
  <cols>
    <col min="2" max="2" width="9.140625" style="8"/>
    <col min="3" max="3" width="35.42578125" style="9" customWidth="1"/>
    <col min="4" max="4" width="34.7109375" style="9" customWidth="1"/>
    <col min="5" max="5" width="17.85546875" style="9" customWidth="1"/>
    <col min="6" max="6" width="9.5703125" style="9" customWidth="1"/>
    <col min="8" max="8" width="9.140625" style="8"/>
    <col min="9" max="9" width="28" style="9" customWidth="1"/>
    <col min="10" max="10" width="26.140625" style="9" customWidth="1"/>
    <col min="11" max="11" width="12.42578125" bestFit="1" customWidth="1"/>
  </cols>
  <sheetData>
    <row r="1" spans="1:11" ht="18.75" thickBot="1" x14ac:dyDescent="0.25"/>
    <row r="2" spans="1:11" ht="26.25" thickBot="1" x14ac:dyDescent="0.25">
      <c r="I2" s="38" t="s">
        <v>181</v>
      </c>
    </row>
    <row r="3" spans="1:11" ht="18.75" thickBot="1" x14ac:dyDescent="0.25"/>
    <row r="4" spans="1:11" ht="18.75" thickBot="1" x14ac:dyDescent="0.25">
      <c r="B4" s="19" t="s">
        <v>175</v>
      </c>
      <c r="C4" s="19" t="s">
        <v>173</v>
      </c>
      <c r="D4" s="19" t="s">
        <v>174</v>
      </c>
      <c r="E4" s="33" t="s">
        <v>160</v>
      </c>
      <c r="F4" s="36"/>
      <c r="H4" s="19" t="s">
        <v>175</v>
      </c>
      <c r="I4" s="21" t="s">
        <v>156</v>
      </c>
      <c r="J4" s="20" t="s">
        <v>157</v>
      </c>
      <c r="K4" s="35" t="s">
        <v>160</v>
      </c>
    </row>
    <row r="5" spans="1:11" ht="20.25" x14ac:dyDescent="0.2">
      <c r="B5" s="22">
        <v>1</v>
      </c>
      <c r="C5" s="25" t="s">
        <v>141</v>
      </c>
      <c r="D5" s="6" t="s">
        <v>145</v>
      </c>
      <c r="E5" s="27" t="str">
        <f>IFERROR(TRIM(VLOOKUP(D5,List!A2:C151,3,FALSE)),"")</f>
        <v>Eng</v>
      </c>
      <c r="F5" s="37"/>
      <c r="H5" s="22">
        <v>1</v>
      </c>
      <c r="I5" s="29" t="str">
        <f t="shared" ref="I5:I13" si="0">IF(D5="","",D5)</f>
        <v>JC Buttler †</v>
      </c>
      <c r="J5" s="29" t="str">
        <f t="shared" ref="J5:J15" si="1">IF(C5="","",C5)</f>
        <v>Wicketkeeper batsman</v>
      </c>
      <c r="K5" s="29" t="str">
        <f>IF(E5="","",E5)</f>
        <v>Eng</v>
      </c>
    </row>
    <row r="6" spans="1:11" ht="20.25" x14ac:dyDescent="0.2">
      <c r="B6" s="23">
        <v>2</v>
      </c>
      <c r="C6" s="26" t="s">
        <v>32</v>
      </c>
      <c r="D6" s="7" t="s">
        <v>54</v>
      </c>
      <c r="E6" s="27" t="str">
        <f>IFERROR(TRIM(VLOOKUP(D6,List!A3:C152,3,FALSE)),"")</f>
        <v>IND</v>
      </c>
      <c r="F6" s="37"/>
      <c r="H6" s="23">
        <v>2</v>
      </c>
      <c r="I6" s="30" t="str">
        <f t="shared" si="0"/>
        <v>JJ Bumrah</v>
      </c>
      <c r="J6" s="30" t="str">
        <f t="shared" si="1"/>
        <v>Bowler</v>
      </c>
      <c r="K6" s="30" t="str">
        <f t="shared" ref="K6:K14" si="2">IF(E6="","",E6)</f>
        <v>IND</v>
      </c>
    </row>
    <row r="7" spans="1:11" ht="20.25" x14ac:dyDescent="0.2">
      <c r="B7" s="23">
        <v>3</v>
      </c>
      <c r="C7" s="26" t="s">
        <v>1</v>
      </c>
      <c r="D7" s="7" t="s">
        <v>6</v>
      </c>
      <c r="E7" s="27" t="str">
        <f>IFERROR(TRIM(VLOOKUP(D7,List!A4:C153,3,FALSE)),"")</f>
        <v>BAN</v>
      </c>
      <c r="F7" s="37"/>
      <c r="H7" s="23">
        <v>3</v>
      </c>
      <c r="I7" s="30" t="s">
        <v>183</v>
      </c>
      <c r="J7" s="30" t="str">
        <f t="shared" si="1"/>
        <v>Allrounder</v>
      </c>
      <c r="K7" s="30" t="str">
        <f t="shared" si="2"/>
        <v>BAN</v>
      </c>
    </row>
    <row r="8" spans="1:11" ht="20.25" x14ac:dyDescent="0.2">
      <c r="B8" s="23">
        <v>4</v>
      </c>
      <c r="C8" s="26" t="s">
        <v>32</v>
      </c>
      <c r="D8" s="7" t="s">
        <v>70</v>
      </c>
      <c r="E8" s="27" t="str">
        <f>IFERROR(TRIM(VLOOKUP(D8,List!A5:C154,3,FALSE)),"")</f>
        <v>SA</v>
      </c>
      <c r="F8" s="37"/>
      <c r="H8" s="23">
        <v>4</v>
      </c>
      <c r="I8" s="30" t="str">
        <f t="shared" si="0"/>
        <v>Imran Tahir</v>
      </c>
      <c r="J8" s="30" t="str">
        <f t="shared" si="1"/>
        <v>Bowler</v>
      </c>
      <c r="K8" s="30" t="str">
        <f>IF(E8="","",E8)</f>
        <v>SA</v>
      </c>
    </row>
    <row r="9" spans="1:11" ht="20.25" x14ac:dyDescent="0.2">
      <c r="B9" s="23">
        <v>5</v>
      </c>
      <c r="C9" s="26" t="s">
        <v>32</v>
      </c>
      <c r="D9" s="7" t="s">
        <v>71</v>
      </c>
      <c r="E9" s="27" t="str">
        <f>IFERROR(TRIM(VLOOKUP(D9,List!A6:C155,3,FALSE)),"")</f>
        <v>SA</v>
      </c>
      <c r="F9" s="37"/>
      <c r="H9" s="23">
        <v>5</v>
      </c>
      <c r="I9" s="30" t="str">
        <f t="shared" si="0"/>
        <v>K Rabada</v>
      </c>
      <c r="J9" s="30" t="str">
        <f t="shared" si="1"/>
        <v>Bowler</v>
      </c>
      <c r="K9" s="30" t="str">
        <f t="shared" si="2"/>
        <v>SA</v>
      </c>
    </row>
    <row r="10" spans="1:11" ht="20.25" x14ac:dyDescent="0.2">
      <c r="B10" s="23">
        <v>6</v>
      </c>
      <c r="C10" s="26" t="s">
        <v>32</v>
      </c>
      <c r="D10" s="7" t="s">
        <v>37</v>
      </c>
      <c r="E10" s="27" t="str">
        <f>IFERROR(TRIM(VLOOKUP(D10,List!A7:C156,3,FALSE)),"")</f>
        <v>AFG</v>
      </c>
      <c r="F10" s="37"/>
      <c r="H10" s="23">
        <v>6</v>
      </c>
      <c r="I10" s="30" t="str">
        <f t="shared" si="0"/>
        <v>Rashid Khan</v>
      </c>
      <c r="J10" s="30" t="str">
        <f t="shared" si="1"/>
        <v>Bowler</v>
      </c>
      <c r="K10" s="30" t="str">
        <f t="shared" si="2"/>
        <v>AFG</v>
      </c>
    </row>
    <row r="11" spans="1:11" ht="20.25" x14ac:dyDescent="0.2">
      <c r="B11" s="23">
        <v>7</v>
      </c>
      <c r="C11" s="26" t="s">
        <v>109</v>
      </c>
      <c r="D11" s="7" t="s">
        <v>111</v>
      </c>
      <c r="E11" s="27" t="str">
        <f>IFERROR(TRIM(VLOOKUP(D11,List!A8:C157,3,FALSE)),"")</f>
        <v>AUS</v>
      </c>
      <c r="F11" s="37"/>
      <c r="H11" s="23">
        <v>7</v>
      </c>
      <c r="I11" s="30" t="s">
        <v>182</v>
      </c>
      <c r="J11" s="30" t="str">
        <f t="shared" si="1"/>
        <v>Opening batsman</v>
      </c>
      <c r="K11" s="30" t="str">
        <f t="shared" si="2"/>
        <v>AUS</v>
      </c>
    </row>
    <row r="12" spans="1:11" ht="20.25" x14ac:dyDescent="0.2">
      <c r="B12" s="23">
        <v>8</v>
      </c>
      <c r="C12" s="26" t="s">
        <v>178</v>
      </c>
      <c r="D12" s="7" t="s">
        <v>101</v>
      </c>
      <c r="E12" s="27" t="str">
        <f>IFERROR(TRIM(VLOOKUP(D12,List!A9:C158,3,FALSE)),"")</f>
        <v>Eng</v>
      </c>
      <c r="F12" s="37"/>
      <c r="H12" s="23">
        <v>8</v>
      </c>
      <c r="I12" s="30" t="str">
        <f t="shared" si="0"/>
        <v>JM Bairstow</v>
      </c>
      <c r="J12" s="30" t="str">
        <f t="shared" si="1"/>
        <v>Middle order Batsman</v>
      </c>
      <c r="K12" s="30" t="str">
        <f t="shared" si="2"/>
        <v>Eng</v>
      </c>
    </row>
    <row r="13" spans="1:11" ht="20.25" x14ac:dyDescent="0.2">
      <c r="B13" s="23">
        <v>9</v>
      </c>
      <c r="C13" s="26" t="s">
        <v>178</v>
      </c>
      <c r="D13" s="7" t="s">
        <v>103</v>
      </c>
      <c r="E13" s="27" t="str">
        <f>IFERROR(TRIM(VLOOKUP(D13,List!A10:C159,3,FALSE)),"")</f>
        <v>NZ</v>
      </c>
      <c r="F13" s="37"/>
      <c r="H13" s="23">
        <v>9</v>
      </c>
      <c r="I13" s="30" t="str">
        <f t="shared" si="0"/>
        <v>LRPL Taylor</v>
      </c>
      <c r="J13" s="30" t="str">
        <f t="shared" si="1"/>
        <v>Middle order Batsman</v>
      </c>
      <c r="K13" s="30" t="str">
        <f t="shared" si="2"/>
        <v>NZ</v>
      </c>
    </row>
    <row r="14" spans="1:11" ht="20.25" x14ac:dyDescent="0.2">
      <c r="B14" s="23">
        <v>10</v>
      </c>
      <c r="C14" s="26" t="s">
        <v>179</v>
      </c>
      <c r="D14" s="7" t="s">
        <v>130</v>
      </c>
      <c r="E14" s="27" t="str">
        <f>IFERROR(TRIM(VLOOKUP(D14,List!A11:C160,3,FALSE)),"")</f>
        <v>Eng</v>
      </c>
      <c r="F14" s="37"/>
      <c r="H14" s="23">
        <v>10</v>
      </c>
      <c r="I14" s="30" t="s">
        <v>130</v>
      </c>
      <c r="J14" s="30" t="str">
        <f t="shared" si="1"/>
        <v>Top order Batsman</v>
      </c>
      <c r="K14" s="30" t="str">
        <f t="shared" si="2"/>
        <v>Eng</v>
      </c>
    </row>
    <row r="15" spans="1:11" ht="21" thickBot="1" x14ac:dyDescent="0.25">
      <c r="B15" s="24">
        <v>11</v>
      </c>
      <c r="C15" s="26" t="s">
        <v>179</v>
      </c>
      <c r="D15" s="28"/>
      <c r="E15" s="34" t="str">
        <f>IFERROR(TRIM(VLOOKUP(D15,List!A12:C161,3,FALSE)),"")</f>
        <v/>
      </c>
      <c r="F15" s="37"/>
      <c r="H15" s="24">
        <v>11</v>
      </c>
      <c r="I15" s="30" t="s">
        <v>169</v>
      </c>
      <c r="J15" s="31" t="str">
        <f t="shared" si="1"/>
        <v>Top order Batsman</v>
      </c>
      <c r="K15" s="31" t="s">
        <v>166</v>
      </c>
    </row>
    <row r="16" spans="1:11" x14ac:dyDescent="0.2">
      <c r="A16" s="9"/>
      <c r="B16" s="9"/>
    </row>
    <row r="17" spans="1:4" x14ac:dyDescent="0.2">
      <c r="A17" s="9"/>
      <c r="B17" s="9"/>
    </row>
    <row r="18" spans="1:4" x14ac:dyDescent="0.2">
      <c r="A18" s="9"/>
      <c r="B18" s="9"/>
    </row>
    <row r="19" spans="1:4" x14ac:dyDescent="0.2">
      <c r="A19" s="9"/>
      <c r="B19" s="9"/>
      <c r="D19" s="9" t="s">
        <v>169</v>
      </c>
    </row>
    <row r="20" spans="1:4" x14ac:dyDescent="0.2">
      <c r="A20" s="9"/>
      <c r="B20" s="9"/>
      <c r="D20" s="9" t="s">
        <v>180</v>
      </c>
    </row>
    <row r="21" spans="1:4" x14ac:dyDescent="0.2">
      <c r="A21" s="9"/>
      <c r="B21" s="9"/>
    </row>
    <row r="22" spans="1:4" x14ac:dyDescent="0.2">
      <c r="A22" s="9"/>
      <c r="B22" s="9"/>
    </row>
    <row r="23" spans="1:4" x14ac:dyDescent="0.2">
      <c r="A23" s="9"/>
      <c r="B23" s="9"/>
    </row>
  </sheetData>
  <dataValidations count="1">
    <dataValidation type="list" allowBlank="1" showInputMessage="1" showErrorMessage="1" sqref="D5:D15" xr:uid="{00000000-0002-0000-0200-000000000000}">
      <formula1>INDIRECT(SUBSTITUTE(C5," ","_"))</formula1>
    </dataValidation>
  </dataValidations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1000000}">
          <x14:formula1>
            <xm:f>'Player Database'!$C$1:$J$1</xm:f>
          </x14:formula1>
          <xm:sqref>C5:C15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EC7DA-DAD7-4778-846E-46DF79D74AC7}">
  <sheetPr codeName="Sheet4"/>
  <dimension ref="C1:V73"/>
  <sheetViews>
    <sheetView tabSelected="1" topLeftCell="G4" workbookViewId="0">
      <selection activeCell="S33" sqref="S33"/>
    </sheetView>
  </sheetViews>
  <sheetFormatPr defaultRowHeight="12.75" x14ac:dyDescent="0.2"/>
  <cols>
    <col min="3" max="3" width="5.42578125" bestFit="1" customWidth="1"/>
    <col min="4" max="4" width="26.28515625" bestFit="1" customWidth="1"/>
    <col min="5" max="5" width="11.85546875" bestFit="1" customWidth="1"/>
    <col min="8" max="8" width="26.28515625" bestFit="1" customWidth="1"/>
    <col min="9" max="9" width="11.85546875" bestFit="1" customWidth="1"/>
    <col min="10" max="10" width="9.140625" customWidth="1"/>
    <col min="12" max="12" width="19" bestFit="1" customWidth="1"/>
    <col min="18" max="18" width="12.5703125" bestFit="1" customWidth="1"/>
    <col min="19" max="19" width="9.5703125" bestFit="1" customWidth="1"/>
    <col min="20" max="20" width="14.5703125" bestFit="1" customWidth="1"/>
    <col min="21" max="21" width="20.140625" bestFit="1" customWidth="1"/>
    <col min="22" max="22" width="13.85546875" bestFit="1" customWidth="1"/>
    <col min="25" max="25" width="11.140625" customWidth="1"/>
  </cols>
  <sheetData>
    <row r="1" spans="3:22" x14ac:dyDescent="0.2">
      <c r="R1" s="46" t="s">
        <v>214</v>
      </c>
    </row>
    <row r="2" spans="3:22" x14ac:dyDescent="0.2">
      <c r="R2" s="46" t="s">
        <v>208</v>
      </c>
    </row>
    <row r="3" spans="3:22" x14ac:dyDescent="0.2">
      <c r="R3" s="46" t="s">
        <v>209</v>
      </c>
    </row>
    <row r="4" spans="3:22" x14ac:dyDescent="0.2">
      <c r="R4" s="46" t="s">
        <v>211</v>
      </c>
    </row>
    <row r="5" spans="3:22" ht="13.5" thickBot="1" x14ac:dyDescent="0.25"/>
    <row r="6" spans="3:22" ht="26.25" thickBot="1" x14ac:dyDescent="0.25">
      <c r="C6" s="8"/>
      <c r="D6" s="38" t="s">
        <v>181</v>
      </c>
      <c r="G6" s="8"/>
      <c r="H6" s="38" t="s">
        <v>197</v>
      </c>
      <c r="K6" s="8"/>
      <c r="L6" s="38" t="s">
        <v>198</v>
      </c>
      <c r="R6" s="52" t="s">
        <v>212</v>
      </c>
      <c r="S6" s="52" t="s">
        <v>191</v>
      </c>
      <c r="T6" s="52" t="s">
        <v>194</v>
      </c>
      <c r="U6" s="45" t="s">
        <v>210</v>
      </c>
      <c r="V6" s="44" t="s">
        <v>195</v>
      </c>
    </row>
    <row r="7" spans="3:22" ht="18.75" thickBot="1" x14ac:dyDescent="0.25">
      <c r="C7" s="8"/>
      <c r="D7" s="9"/>
      <c r="G7" s="8"/>
      <c r="H7" s="9"/>
      <c r="K7" s="8"/>
      <c r="L7" s="9"/>
      <c r="R7" s="52" t="s">
        <v>215</v>
      </c>
      <c r="S7" s="52">
        <f>E20</f>
        <v>98</v>
      </c>
      <c r="T7" s="52">
        <v>98</v>
      </c>
      <c r="U7" s="43">
        <v>4</v>
      </c>
      <c r="V7" s="43">
        <f t="shared" ref="V7:V18" si="0">U7+T7</f>
        <v>102</v>
      </c>
    </row>
    <row r="8" spans="3:22" ht="19.5" thickBot="1" x14ac:dyDescent="0.25">
      <c r="C8" s="19" t="s">
        <v>175</v>
      </c>
      <c r="D8" s="40" t="s">
        <v>156</v>
      </c>
      <c r="E8" t="s">
        <v>196</v>
      </c>
      <c r="G8" s="19" t="s">
        <v>175</v>
      </c>
      <c r="H8" s="40" t="s">
        <v>156</v>
      </c>
      <c r="I8" t="s">
        <v>196</v>
      </c>
      <c r="K8" s="19" t="s">
        <v>175</v>
      </c>
      <c r="L8" s="40" t="s">
        <v>156</v>
      </c>
      <c r="M8" t="s">
        <v>196</v>
      </c>
      <c r="R8" s="52">
        <v>2</v>
      </c>
      <c r="S8" s="52">
        <f>I20</f>
        <v>74</v>
      </c>
      <c r="T8" s="52">
        <v>74</v>
      </c>
      <c r="U8" s="43">
        <v>4</v>
      </c>
      <c r="V8" s="43">
        <f t="shared" si="0"/>
        <v>78</v>
      </c>
    </row>
    <row r="9" spans="3:22" ht="18.75" x14ac:dyDescent="0.2">
      <c r="C9" s="22">
        <v>1</v>
      </c>
      <c r="D9" s="39" t="s">
        <v>184</v>
      </c>
      <c r="E9">
        <f>VLOOKUP(D9,[1]Player_in_all_team_points!$A:$B,2,)</f>
        <v>65</v>
      </c>
      <c r="G9" s="22">
        <v>1</v>
      </c>
      <c r="H9" s="39" t="s">
        <v>184</v>
      </c>
      <c r="I9">
        <f>VLOOKUP(H9,[1]Player_in_all_team_points!$A:$B,2,)</f>
        <v>65</v>
      </c>
      <c r="K9" s="22">
        <v>1</v>
      </c>
      <c r="L9" s="39" t="s">
        <v>184</v>
      </c>
      <c r="M9">
        <f>VLOOKUP(L9,[1]Player_in_all_team_points!$A:$B,2,)</f>
        <v>65</v>
      </c>
      <c r="R9" s="52">
        <v>3</v>
      </c>
      <c r="S9" s="52">
        <f>M20</f>
        <v>74</v>
      </c>
      <c r="T9" s="52">
        <v>74</v>
      </c>
      <c r="U9" s="43">
        <v>55</v>
      </c>
      <c r="V9" s="43">
        <f t="shared" si="0"/>
        <v>129</v>
      </c>
    </row>
    <row r="10" spans="3:22" ht="18.75" x14ac:dyDescent="0.2">
      <c r="C10" s="23">
        <v>2</v>
      </c>
      <c r="D10" s="39" t="s">
        <v>185</v>
      </c>
      <c r="E10">
        <f>VLOOKUP(D10,[1]Player_in_all_team_points!$A:$B,2,)</f>
        <v>0</v>
      </c>
      <c r="G10" s="23">
        <v>2</v>
      </c>
      <c r="H10" s="39" t="s">
        <v>185</v>
      </c>
      <c r="I10">
        <f>VLOOKUP(H10,[1]Player_in_all_team_points!$A:$B,2,)</f>
        <v>0</v>
      </c>
      <c r="K10" s="23">
        <v>2</v>
      </c>
      <c r="L10" s="39" t="s">
        <v>185</v>
      </c>
      <c r="M10">
        <f>VLOOKUP(L10,[1]Player_in_all_team_points!$A:$B,2,)</f>
        <v>0</v>
      </c>
      <c r="R10" s="52">
        <v>4</v>
      </c>
      <c r="S10" s="52">
        <f>E39</f>
        <v>74</v>
      </c>
      <c r="T10" s="52">
        <v>74</v>
      </c>
      <c r="U10" s="43">
        <v>3</v>
      </c>
      <c r="V10" s="43">
        <f t="shared" si="0"/>
        <v>77</v>
      </c>
    </row>
    <row r="11" spans="3:22" ht="18.75" x14ac:dyDescent="0.2">
      <c r="C11" s="23">
        <v>3</v>
      </c>
      <c r="D11" s="41" t="s">
        <v>6</v>
      </c>
      <c r="E11">
        <f>VLOOKUP(D11,[1]Player_in_all_team_points!$A:$B,2,)</f>
        <v>0</v>
      </c>
      <c r="G11" s="23">
        <v>3</v>
      </c>
      <c r="H11" s="41" t="s">
        <v>6</v>
      </c>
      <c r="I11">
        <f>VLOOKUP(H11,[1]Player_in_all_team_points!$A:$B,2,)</f>
        <v>0</v>
      </c>
      <c r="K11" s="23">
        <v>3</v>
      </c>
      <c r="L11" s="41" t="s">
        <v>6</v>
      </c>
      <c r="M11">
        <f>VLOOKUP(L11,[1]Player_in_all_team_points!$A:$B,2,)</f>
        <v>0</v>
      </c>
      <c r="R11" s="52">
        <v>5</v>
      </c>
      <c r="S11" s="52">
        <f>I39</f>
        <v>74</v>
      </c>
      <c r="T11" s="52">
        <v>74</v>
      </c>
      <c r="U11" s="43">
        <v>0</v>
      </c>
      <c r="V11" s="43">
        <f t="shared" si="0"/>
        <v>74</v>
      </c>
    </row>
    <row r="12" spans="3:22" ht="18.75" x14ac:dyDescent="0.2">
      <c r="C12" s="23">
        <v>4</v>
      </c>
      <c r="D12" s="41" t="s">
        <v>70</v>
      </c>
      <c r="E12">
        <f>VLOOKUP(D12,[1]Player_in_all_team_points!$A:$B,2,)</f>
        <v>0</v>
      </c>
      <c r="G12" s="23">
        <v>4</v>
      </c>
      <c r="H12" s="41" t="s">
        <v>70</v>
      </c>
      <c r="I12">
        <f>VLOOKUP(H12,[1]Player_in_all_team_points!$A:$B,2,)</f>
        <v>0</v>
      </c>
      <c r="K12" s="23">
        <v>4</v>
      </c>
      <c r="L12" s="41" t="s">
        <v>70</v>
      </c>
      <c r="M12">
        <f>VLOOKUP(L12,[1]Player_in_all_team_points!$A:$B,2,)</f>
        <v>0</v>
      </c>
      <c r="R12" s="52" t="s">
        <v>216</v>
      </c>
      <c r="S12" s="52">
        <f>M39</f>
        <v>74</v>
      </c>
      <c r="T12" s="52">
        <v>74</v>
      </c>
      <c r="U12" s="43">
        <v>0</v>
      </c>
      <c r="V12" s="43">
        <f t="shared" si="0"/>
        <v>74</v>
      </c>
    </row>
    <row r="13" spans="3:22" ht="18.75" x14ac:dyDescent="0.2">
      <c r="C13" s="23">
        <v>5</v>
      </c>
      <c r="D13" s="39" t="s">
        <v>186</v>
      </c>
      <c r="E13">
        <f>VLOOKUP(D13,[1]Player_in_all_team_points!$A:$B,2,)</f>
        <v>0</v>
      </c>
      <c r="G13" s="23">
        <v>5</v>
      </c>
      <c r="H13" s="39" t="s">
        <v>186</v>
      </c>
      <c r="I13">
        <v>0</v>
      </c>
      <c r="K13" s="23">
        <v>5</v>
      </c>
      <c r="L13" s="39" t="s">
        <v>186</v>
      </c>
      <c r="M13">
        <v>0</v>
      </c>
      <c r="R13" s="52">
        <v>7</v>
      </c>
      <c r="S13" s="52">
        <f>E56</f>
        <v>74</v>
      </c>
      <c r="T13" s="52">
        <v>74</v>
      </c>
      <c r="U13" s="43">
        <v>14</v>
      </c>
      <c r="V13" s="43">
        <f t="shared" si="0"/>
        <v>88</v>
      </c>
    </row>
    <row r="14" spans="3:22" ht="18.75" x14ac:dyDescent="0.2">
      <c r="C14" s="23">
        <v>6</v>
      </c>
      <c r="D14" s="41" t="s">
        <v>37</v>
      </c>
      <c r="E14">
        <f>VLOOKUP(D14,[1]Player_in_all_team_points!$A:$B,2,)</f>
        <v>0</v>
      </c>
      <c r="G14" s="23">
        <v>6</v>
      </c>
      <c r="H14" s="41" t="s">
        <v>37</v>
      </c>
      <c r="I14">
        <f>VLOOKUP(H14,[1]Player_in_all_team_points!$A:$B,2,)</f>
        <v>0</v>
      </c>
      <c r="K14" s="23">
        <v>6</v>
      </c>
      <c r="L14" s="41" t="s">
        <v>37</v>
      </c>
      <c r="M14">
        <f>VLOOKUP(L14,[1]Player_in_all_team_points!$A:$B,2,)</f>
        <v>0</v>
      </c>
      <c r="R14" s="52">
        <v>8</v>
      </c>
      <c r="S14" s="52">
        <f>I56</f>
        <v>74</v>
      </c>
      <c r="T14" s="52">
        <v>74</v>
      </c>
      <c r="U14" s="43">
        <v>22</v>
      </c>
      <c r="V14" s="43">
        <f t="shared" si="0"/>
        <v>96</v>
      </c>
    </row>
    <row r="15" spans="3:22" ht="18.75" x14ac:dyDescent="0.2">
      <c r="C15" s="23">
        <v>7</v>
      </c>
      <c r="D15" s="39" t="s">
        <v>187</v>
      </c>
      <c r="E15">
        <f>VLOOKUP(D15,[1]Player_in_all_team_points!$A:$B,2,)</f>
        <v>0</v>
      </c>
      <c r="G15" s="23">
        <v>7</v>
      </c>
      <c r="H15" s="39" t="s">
        <v>187</v>
      </c>
      <c r="I15">
        <v>4</v>
      </c>
      <c r="K15" s="23">
        <v>7</v>
      </c>
      <c r="L15" s="39" t="s">
        <v>187</v>
      </c>
      <c r="M15">
        <v>4</v>
      </c>
      <c r="R15" s="52">
        <v>9</v>
      </c>
      <c r="S15" s="52">
        <f>M56</f>
        <v>74</v>
      </c>
      <c r="T15" s="52">
        <v>74</v>
      </c>
      <c r="U15" s="43">
        <v>100</v>
      </c>
      <c r="V15" s="43">
        <f t="shared" si="0"/>
        <v>174</v>
      </c>
    </row>
    <row r="16" spans="3:22" ht="18.75" x14ac:dyDescent="0.2">
      <c r="C16" s="23">
        <v>8</v>
      </c>
      <c r="D16" s="39" t="s">
        <v>188</v>
      </c>
      <c r="E16">
        <f>VLOOKUP(D16,[1]Player_in_all_team_points!$A:$B,2,)</f>
        <v>11</v>
      </c>
      <c r="G16" s="23">
        <v>8</v>
      </c>
      <c r="H16" s="39" t="s">
        <v>188</v>
      </c>
      <c r="I16">
        <v>5</v>
      </c>
      <c r="K16" s="23">
        <v>8</v>
      </c>
      <c r="L16" s="39" t="s">
        <v>188</v>
      </c>
      <c r="M16">
        <v>5</v>
      </c>
      <c r="R16" s="52">
        <v>10</v>
      </c>
      <c r="S16" s="52">
        <f>E73</f>
        <v>74</v>
      </c>
      <c r="T16" s="52">
        <v>74</v>
      </c>
      <c r="U16" s="43">
        <v>25</v>
      </c>
      <c r="V16" s="43">
        <f t="shared" si="0"/>
        <v>99</v>
      </c>
    </row>
    <row r="17" spans="3:22" ht="18.75" x14ac:dyDescent="0.2">
      <c r="C17" s="23">
        <v>9</v>
      </c>
      <c r="D17" s="39" t="s">
        <v>189</v>
      </c>
      <c r="E17">
        <f>VLOOKUP(D17,[1]Player_in_all_team_points!$A:$B,2,)</f>
        <v>0</v>
      </c>
      <c r="G17" s="23">
        <v>9</v>
      </c>
      <c r="H17" s="39" t="s">
        <v>189</v>
      </c>
      <c r="I17">
        <v>0</v>
      </c>
      <c r="K17" s="23">
        <v>9</v>
      </c>
      <c r="L17" s="39" t="s">
        <v>189</v>
      </c>
      <c r="M17">
        <v>0</v>
      </c>
      <c r="R17" s="52">
        <v>11</v>
      </c>
      <c r="S17" s="52">
        <f>I73</f>
        <v>74</v>
      </c>
      <c r="T17" s="52">
        <v>74</v>
      </c>
      <c r="U17" s="43">
        <v>0</v>
      </c>
      <c r="V17" s="43">
        <f t="shared" si="0"/>
        <v>74</v>
      </c>
    </row>
    <row r="18" spans="3:22" ht="18.75" x14ac:dyDescent="0.2">
      <c r="C18" s="23">
        <v>10</v>
      </c>
      <c r="D18" s="39" t="s">
        <v>190</v>
      </c>
      <c r="E18">
        <f>VLOOKUP(D18,[1]Player_in_all_team_points!$A:$B,2,)</f>
        <v>22</v>
      </c>
      <c r="G18" s="23">
        <v>10</v>
      </c>
      <c r="H18" s="39" t="s">
        <v>190</v>
      </c>
      <c r="I18">
        <v>0</v>
      </c>
      <c r="K18" s="23">
        <v>10</v>
      </c>
      <c r="L18" s="39" t="s">
        <v>190</v>
      </c>
      <c r="M18">
        <v>0</v>
      </c>
      <c r="R18" s="52">
        <v>12</v>
      </c>
      <c r="S18" s="52">
        <f>M73</f>
        <v>74</v>
      </c>
      <c r="T18" s="52">
        <v>74</v>
      </c>
      <c r="U18" s="43">
        <v>0</v>
      </c>
      <c r="V18" s="43">
        <f t="shared" si="0"/>
        <v>74</v>
      </c>
    </row>
    <row r="19" spans="3:22" ht="19.5" thickBot="1" x14ac:dyDescent="0.25">
      <c r="C19" s="24">
        <v>11</v>
      </c>
      <c r="D19" s="41" t="s">
        <v>169</v>
      </c>
      <c r="E19">
        <f>VLOOKUP(D19,[1]Player_in_all_team_points!$A:$B,2,)</f>
        <v>0</v>
      </c>
      <c r="G19" s="24">
        <v>11</v>
      </c>
      <c r="H19" s="41" t="s">
        <v>169</v>
      </c>
      <c r="I19">
        <f>VLOOKUP(H19,[1]Player_in_all_team_points!$A:$B,2,)</f>
        <v>0</v>
      </c>
      <c r="K19" s="24">
        <v>11</v>
      </c>
      <c r="L19" s="41" t="s">
        <v>169</v>
      </c>
      <c r="M19">
        <f>VLOOKUP(L19,[1]Player_in_all_team_points!$A:$B,2,)</f>
        <v>0</v>
      </c>
    </row>
    <row r="20" spans="3:22" ht="18.75" x14ac:dyDescent="0.2">
      <c r="D20" s="42" t="s">
        <v>192</v>
      </c>
      <c r="E20">
        <f>SUM(E9:E19)</f>
        <v>98</v>
      </c>
      <c r="H20" s="42" t="s">
        <v>192</v>
      </c>
      <c r="I20">
        <f>SUM(I9:I19)</f>
        <v>74</v>
      </c>
      <c r="L20" s="42" t="s">
        <v>192</v>
      </c>
      <c r="M20">
        <f>SUM(M9:M19)</f>
        <v>74</v>
      </c>
    </row>
    <row r="23" spans="3:22" ht="13.5" thickBot="1" x14ac:dyDescent="0.25"/>
    <row r="24" spans="3:22" ht="24" thickBot="1" x14ac:dyDescent="0.4">
      <c r="R24" s="48" t="s">
        <v>193</v>
      </c>
      <c r="S24" s="49"/>
      <c r="T24" s="50"/>
    </row>
    <row r="25" spans="3:22" ht="26.25" thickBot="1" x14ac:dyDescent="0.25">
      <c r="C25" s="8"/>
      <c r="D25" s="38" t="s">
        <v>199</v>
      </c>
      <c r="G25" s="8"/>
      <c r="H25" s="38" t="s">
        <v>200</v>
      </c>
      <c r="K25" s="8"/>
      <c r="L25" s="38" t="s">
        <v>201</v>
      </c>
      <c r="R25" s="47" t="s">
        <v>212</v>
      </c>
      <c r="S25" s="47" t="s">
        <v>210</v>
      </c>
      <c r="T25" s="47" t="s">
        <v>213</v>
      </c>
    </row>
    <row r="26" spans="3:22" ht="18.75" thickBot="1" x14ac:dyDescent="0.25">
      <c r="C26" s="8"/>
      <c r="D26" s="9"/>
      <c r="G26" s="8"/>
      <c r="H26" s="9"/>
      <c r="K26" s="8"/>
      <c r="L26" s="9"/>
      <c r="R26" s="43" t="s">
        <v>215</v>
      </c>
      <c r="S26" s="43">
        <v>4</v>
      </c>
      <c r="T26" s="43">
        <v>98</v>
      </c>
    </row>
    <row r="27" spans="3:22" ht="19.5" thickBot="1" x14ac:dyDescent="0.25">
      <c r="C27" s="19" t="s">
        <v>175</v>
      </c>
      <c r="D27" s="40" t="s">
        <v>156</v>
      </c>
      <c r="E27" t="s">
        <v>196</v>
      </c>
      <c r="G27" s="19" t="s">
        <v>175</v>
      </c>
      <c r="H27" s="40" t="s">
        <v>156</v>
      </c>
      <c r="I27" t="s">
        <v>196</v>
      </c>
      <c r="K27" s="19" t="s">
        <v>175</v>
      </c>
      <c r="L27" s="40" t="s">
        <v>156</v>
      </c>
      <c r="M27" t="s">
        <v>196</v>
      </c>
      <c r="R27" s="43">
        <v>2</v>
      </c>
      <c r="S27" s="43">
        <v>4</v>
      </c>
      <c r="T27" s="43">
        <v>74</v>
      </c>
    </row>
    <row r="28" spans="3:22" ht="18.75" x14ac:dyDescent="0.2">
      <c r="C28" s="22">
        <v>1</v>
      </c>
      <c r="D28" s="39" t="s">
        <v>184</v>
      </c>
      <c r="E28">
        <f>VLOOKUP(D28,[1]Player_in_all_team_points!$A:$B,2,)</f>
        <v>65</v>
      </c>
      <c r="G28" s="22">
        <v>1</v>
      </c>
      <c r="H28" s="39" t="s">
        <v>184</v>
      </c>
      <c r="I28">
        <f>VLOOKUP(H28,[1]Player_in_all_team_points!$A:$B,2,)</f>
        <v>65</v>
      </c>
      <c r="K28" s="22">
        <v>1</v>
      </c>
      <c r="L28" s="39" t="s">
        <v>184</v>
      </c>
      <c r="M28">
        <f>VLOOKUP(L28,[1]Player_in_all_team_points!$A:$B,2,)</f>
        <v>65</v>
      </c>
      <c r="R28" s="43">
        <v>3</v>
      </c>
      <c r="S28" s="43">
        <v>55</v>
      </c>
      <c r="T28" s="43">
        <v>74</v>
      </c>
    </row>
    <row r="29" spans="3:22" ht="18.75" x14ac:dyDescent="0.2">
      <c r="C29" s="23">
        <v>2</v>
      </c>
      <c r="D29" s="39" t="s">
        <v>185</v>
      </c>
      <c r="E29">
        <f>VLOOKUP(D29,[1]Player_in_all_team_points!$A:$B,2,)</f>
        <v>0</v>
      </c>
      <c r="G29" s="23">
        <v>2</v>
      </c>
      <c r="H29" s="39" t="s">
        <v>185</v>
      </c>
      <c r="I29">
        <f>VLOOKUP(H29,[1]Player_in_all_team_points!$A:$B,2,)</f>
        <v>0</v>
      </c>
      <c r="K29" s="23">
        <v>2</v>
      </c>
      <c r="L29" s="39" t="s">
        <v>185</v>
      </c>
      <c r="M29">
        <f>VLOOKUP(L29,[1]Player_in_all_team_points!$A:$B,2,)</f>
        <v>0</v>
      </c>
      <c r="R29" s="43">
        <v>4</v>
      </c>
      <c r="S29" s="43">
        <v>3</v>
      </c>
      <c r="T29" s="43">
        <v>74</v>
      </c>
    </row>
    <row r="30" spans="3:22" ht="18.75" x14ac:dyDescent="0.2">
      <c r="C30" s="23">
        <v>3</v>
      </c>
      <c r="D30" s="41" t="s">
        <v>6</v>
      </c>
      <c r="E30">
        <f>VLOOKUP(D30,[1]Player_in_all_team_points!$A:$B,2,)</f>
        <v>0</v>
      </c>
      <c r="G30" s="23">
        <v>3</v>
      </c>
      <c r="H30" s="41" t="s">
        <v>6</v>
      </c>
      <c r="I30">
        <f>VLOOKUP(H30,[1]Player_in_all_team_points!$A:$B,2,)</f>
        <v>0</v>
      </c>
      <c r="K30" s="23">
        <v>3</v>
      </c>
      <c r="L30" s="41" t="s">
        <v>6</v>
      </c>
      <c r="M30">
        <f>VLOOKUP(L30,[1]Player_in_all_team_points!$A:$B,2,)</f>
        <v>0</v>
      </c>
      <c r="R30" s="43">
        <v>5</v>
      </c>
      <c r="S30" s="43">
        <v>0</v>
      </c>
      <c r="T30" s="43">
        <v>74</v>
      </c>
    </row>
    <row r="31" spans="3:22" ht="18.75" x14ac:dyDescent="0.2">
      <c r="C31" s="23">
        <v>4</v>
      </c>
      <c r="D31" s="41" t="s">
        <v>70</v>
      </c>
      <c r="E31">
        <f>VLOOKUP(D31,[1]Player_in_all_team_points!$A:$B,2,)</f>
        <v>0</v>
      </c>
      <c r="G31" s="23">
        <v>4</v>
      </c>
      <c r="H31" s="41" t="s">
        <v>70</v>
      </c>
      <c r="I31">
        <f>VLOOKUP(H31,[1]Player_in_all_team_points!$A:$B,2,)</f>
        <v>0</v>
      </c>
      <c r="K31" s="23">
        <v>4</v>
      </c>
      <c r="L31" s="41" t="s">
        <v>70</v>
      </c>
      <c r="M31">
        <f>VLOOKUP(L31,[1]Player_in_all_team_points!$A:$B,2,)</f>
        <v>0</v>
      </c>
      <c r="R31" s="43" t="s">
        <v>216</v>
      </c>
      <c r="S31" s="43">
        <v>0</v>
      </c>
      <c r="T31" s="43">
        <v>74</v>
      </c>
    </row>
    <row r="32" spans="3:22" ht="18.75" x14ac:dyDescent="0.2">
      <c r="C32" s="23">
        <v>5</v>
      </c>
      <c r="D32" s="39" t="s">
        <v>186</v>
      </c>
      <c r="E32">
        <v>0</v>
      </c>
      <c r="G32" s="23">
        <v>5</v>
      </c>
      <c r="H32" s="39" t="s">
        <v>186</v>
      </c>
      <c r="I32">
        <v>0</v>
      </c>
      <c r="K32" s="23">
        <v>5</v>
      </c>
      <c r="L32" s="39" t="s">
        <v>186</v>
      </c>
      <c r="M32">
        <v>0</v>
      </c>
      <c r="R32" s="43">
        <v>7</v>
      </c>
      <c r="S32" s="43">
        <v>14</v>
      </c>
      <c r="T32" s="43">
        <v>74</v>
      </c>
    </row>
    <row r="33" spans="3:20" ht="18.75" x14ac:dyDescent="0.2">
      <c r="C33" s="23">
        <v>6</v>
      </c>
      <c r="D33" s="41" t="s">
        <v>37</v>
      </c>
      <c r="E33">
        <f>VLOOKUP(D33,[1]Player_in_all_team_points!$A:$B,2,)</f>
        <v>0</v>
      </c>
      <c r="G33" s="23">
        <v>6</v>
      </c>
      <c r="H33" s="41" t="s">
        <v>37</v>
      </c>
      <c r="I33">
        <f>VLOOKUP(H33,[1]Player_in_all_team_points!$A:$B,2,)</f>
        <v>0</v>
      </c>
      <c r="K33" s="23">
        <v>6</v>
      </c>
      <c r="L33" s="41" t="s">
        <v>37</v>
      </c>
      <c r="M33">
        <f>VLOOKUP(L33,[1]Player_in_all_team_points!$A:$B,2,)</f>
        <v>0</v>
      </c>
      <c r="R33" s="43">
        <v>8</v>
      </c>
      <c r="S33" s="43">
        <v>22</v>
      </c>
      <c r="T33" s="43">
        <v>74</v>
      </c>
    </row>
    <row r="34" spans="3:20" ht="18.75" x14ac:dyDescent="0.2">
      <c r="C34" s="23">
        <v>7</v>
      </c>
      <c r="D34" s="39" t="s">
        <v>187</v>
      </c>
      <c r="E34">
        <v>4</v>
      </c>
      <c r="G34" s="23">
        <v>7</v>
      </c>
      <c r="H34" s="39" t="s">
        <v>187</v>
      </c>
      <c r="I34">
        <v>4</v>
      </c>
      <c r="K34" s="23">
        <v>7</v>
      </c>
      <c r="L34" s="39" t="s">
        <v>187</v>
      </c>
      <c r="M34">
        <v>4</v>
      </c>
      <c r="R34" s="43">
        <v>9</v>
      </c>
      <c r="S34" s="43">
        <v>100</v>
      </c>
      <c r="T34" s="43">
        <v>74</v>
      </c>
    </row>
    <row r="35" spans="3:20" ht="18.75" x14ac:dyDescent="0.2">
      <c r="C35" s="23">
        <v>8</v>
      </c>
      <c r="D35" s="39" t="s">
        <v>188</v>
      </c>
      <c r="E35">
        <v>5</v>
      </c>
      <c r="G35" s="23">
        <v>8</v>
      </c>
      <c r="H35" s="39" t="s">
        <v>188</v>
      </c>
      <c r="I35">
        <v>5</v>
      </c>
      <c r="K35" s="23">
        <v>8</v>
      </c>
      <c r="L35" s="39" t="s">
        <v>188</v>
      </c>
      <c r="M35">
        <v>5</v>
      </c>
      <c r="R35" s="43">
        <v>10</v>
      </c>
      <c r="S35" s="43">
        <v>25</v>
      </c>
      <c r="T35" s="43">
        <v>74</v>
      </c>
    </row>
    <row r="36" spans="3:20" ht="18.75" x14ac:dyDescent="0.2">
      <c r="C36" s="23">
        <v>9</v>
      </c>
      <c r="D36" s="39" t="s">
        <v>189</v>
      </c>
      <c r="E36">
        <v>0</v>
      </c>
      <c r="G36" s="23">
        <v>9</v>
      </c>
      <c r="H36" s="39" t="s">
        <v>189</v>
      </c>
      <c r="I36">
        <v>0</v>
      </c>
      <c r="K36" s="23">
        <v>9</v>
      </c>
      <c r="L36" s="39" t="s">
        <v>189</v>
      </c>
      <c r="M36">
        <v>0</v>
      </c>
      <c r="R36" s="43">
        <v>11</v>
      </c>
      <c r="S36" s="43">
        <v>0</v>
      </c>
      <c r="T36" s="43">
        <v>74</v>
      </c>
    </row>
    <row r="37" spans="3:20" ht="18.75" x14ac:dyDescent="0.2">
      <c r="C37" s="23">
        <v>10</v>
      </c>
      <c r="D37" s="39" t="s">
        <v>190</v>
      </c>
      <c r="E37">
        <v>0</v>
      </c>
      <c r="G37" s="23">
        <v>10</v>
      </c>
      <c r="H37" s="39" t="s">
        <v>190</v>
      </c>
      <c r="I37">
        <v>0</v>
      </c>
      <c r="K37" s="23">
        <v>10</v>
      </c>
      <c r="L37" s="39" t="s">
        <v>190</v>
      </c>
      <c r="M37">
        <v>0</v>
      </c>
      <c r="R37" s="43">
        <v>12</v>
      </c>
      <c r="S37" s="43">
        <v>0</v>
      </c>
      <c r="T37" s="43">
        <v>74</v>
      </c>
    </row>
    <row r="38" spans="3:20" ht="19.5" thickBot="1" x14ac:dyDescent="0.25">
      <c r="C38" s="24">
        <v>11</v>
      </c>
      <c r="D38" s="41" t="s">
        <v>169</v>
      </c>
      <c r="E38">
        <f>VLOOKUP(D38,[1]Player_in_all_team_points!$A:$B,2,)</f>
        <v>0</v>
      </c>
      <c r="G38" s="24">
        <v>11</v>
      </c>
      <c r="H38" s="41" t="s">
        <v>169</v>
      </c>
      <c r="I38">
        <f>VLOOKUP(H38,[1]Player_in_all_team_points!$A:$B,2,)</f>
        <v>0</v>
      </c>
      <c r="K38" s="24">
        <v>11</v>
      </c>
      <c r="L38" s="41" t="s">
        <v>169</v>
      </c>
      <c r="M38">
        <f>VLOOKUP(L38,[1]Player_in_all_team_points!$A:$B,2,)</f>
        <v>0</v>
      </c>
    </row>
    <row r="39" spans="3:20" ht="18.75" x14ac:dyDescent="0.2">
      <c r="D39" s="42" t="s">
        <v>192</v>
      </c>
      <c r="E39">
        <f>SUM(E28:E38)</f>
        <v>74</v>
      </c>
      <c r="H39" s="42" t="s">
        <v>192</v>
      </c>
      <c r="I39">
        <f>SUM(I28:I38)</f>
        <v>74</v>
      </c>
      <c r="L39" s="42" t="s">
        <v>192</v>
      </c>
      <c r="M39">
        <f>SUM(M28:M38)</f>
        <v>74</v>
      </c>
    </row>
    <row r="41" spans="3:20" ht="13.5" thickBot="1" x14ac:dyDescent="0.25"/>
    <row r="42" spans="3:20" ht="26.25" thickBot="1" x14ac:dyDescent="0.25">
      <c r="C42" s="8"/>
      <c r="D42" s="38" t="s">
        <v>202</v>
      </c>
      <c r="G42" s="8"/>
      <c r="H42" s="38" t="s">
        <v>203</v>
      </c>
      <c r="K42" s="8"/>
      <c r="L42" s="38" t="s">
        <v>204</v>
      </c>
    </row>
    <row r="43" spans="3:20" ht="18.75" thickBot="1" x14ac:dyDescent="0.25">
      <c r="C43" s="8"/>
      <c r="D43" s="9"/>
      <c r="G43" s="8"/>
      <c r="H43" s="9"/>
      <c r="K43" s="8"/>
      <c r="L43" s="9"/>
    </row>
    <row r="44" spans="3:20" ht="19.5" thickBot="1" x14ac:dyDescent="0.25">
      <c r="C44" s="19" t="s">
        <v>175</v>
      </c>
      <c r="D44" s="40" t="s">
        <v>156</v>
      </c>
      <c r="E44" t="s">
        <v>196</v>
      </c>
      <c r="G44" s="19" t="s">
        <v>175</v>
      </c>
      <c r="H44" s="40" t="s">
        <v>156</v>
      </c>
      <c r="I44" t="s">
        <v>196</v>
      </c>
      <c r="K44" s="19" t="s">
        <v>175</v>
      </c>
      <c r="L44" s="40" t="s">
        <v>156</v>
      </c>
      <c r="M44" t="s">
        <v>196</v>
      </c>
    </row>
    <row r="45" spans="3:20" ht="18.75" x14ac:dyDescent="0.2">
      <c r="C45" s="22">
        <v>1</v>
      </c>
      <c r="D45" s="39" t="s">
        <v>184</v>
      </c>
      <c r="E45">
        <f>VLOOKUP(D45,[1]Player_in_all_team_points!$A:$B,2,)</f>
        <v>65</v>
      </c>
      <c r="G45" s="22">
        <v>1</v>
      </c>
      <c r="H45" s="39" t="s">
        <v>184</v>
      </c>
      <c r="I45">
        <f>VLOOKUP(H45,[1]Player_in_all_team_points!$A:$B,2,)</f>
        <v>65</v>
      </c>
      <c r="K45" s="22">
        <v>1</v>
      </c>
      <c r="L45" s="39" t="s">
        <v>184</v>
      </c>
      <c r="M45">
        <f>VLOOKUP(L45,[1]Player_in_all_team_points!$A:$B,2,)</f>
        <v>65</v>
      </c>
    </row>
    <row r="46" spans="3:20" ht="18.75" x14ac:dyDescent="0.2">
      <c r="C46" s="23">
        <v>2</v>
      </c>
      <c r="D46" s="39" t="s">
        <v>185</v>
      </c>
      <c r="E46">
        <f>VLOOKUP(D46,[1]Player_in_all_team_points!$A:$B,2,)</f>
        <v>0</v>
      </c>
      <c r="G46" s="23">
        <v>2</v>
      </c>
      <c r="H46" s="39" t="s">
        <v>185</v>
      </c>
      <c r="I46">
        <f>VLOOKUP(H46,[1]Player_in_all_team_points!$A:$B,2,)</f>
        <v>0</v>
      </c>
      <c r="K46" s="23">
        <v>2</v>
      </c>
      <c r="L46" s="39" t="s">
        <v>185</v>
      </c>
      <c r="M46">
        <f>VLOOKUP(L46,[1]Player_in_all_team_points!$A:$B,2,)</f>
        <v>0</v>
      </c>
    </row>
    <row r="47" spans="3:20" ht="18.75" x14ac:dyDescent="0.2">
      <c r="C47" s="23">
        <v>3</v>
      </c>
      <c r="D47" s="41" t="s">
        <v>6</v>
      </c>
      <c r="E47">
        <f>VLOOKUP(D47,[1]Player_in_all_team_points!$A:$B,2,)</f>
        <v>0</v>
      </c>
      <c r="G47" s="23">
        <v>3</v>
      </c>
      <c r="H47" s="41" t="s">
        <v>6</v>
      </c>
      <c r="I47">
        <f>VLOOKUP(H47,[1]Player_in_all_team_points!$A:$B,2,)</f>
        <v>0</v>
      </c>
      <c r="K47" s="23">
        <v>3</v>
      </c>
      <c r="L47" s="41" t="s">
        <v>6</v>
      </c>
      <c r="M47">
        <f>VLOOKUP(L47,[1]Player_in_all_team_points!$A:$B,2,)</f>
        <v>0</v>
      </c>
    </row>
    <row r="48" spans="3:20" ht="18.75" x14ac:dyDescent="0.2">
      <c r="C48" s="23">
        <v>4</v>
      </c>
      <c r="D48" s="41" t="s">
        <v>70</v>
      </c>
      <c r="E48">
        <f>VLOOKUP(D48,[1]Player_in_all_team_points!$A:$B,2,)</f>
        <v>0</v>
      </c>
      <c r="G48" s="23">
        <v>4</v>
      </c>
      <c r="H48" s="41" t="s">
        <v>70</v>
      </c>
      <c r="I48">
        <f>VLOOKUP(H48,[1]Player_in_all_team_points!$A:$B,2,)</f>
        <v>0</v>
      </c>
      <c r="K48" s="23">
        <v>4</v>
      </c>
      <c r="L48" s="41" t="s">
        <v>70</v>
      </c>
      <c r="M48">
        <f>VLOOKUP(L48,[1]Player_in_all_team_points!$A:$B,2,)</f>
        <v>0</v>
      </c>
    </row>
    <row r="49" spans="3:13" ht="18.75" x14ac:dyDescent="0.2">
      <c r="C49" s="23">
        <v>5</v>
      </c>
      <c r="D49" s="39" t="s">
        <v>186</v>
      </c>
      <c r="E49">
        <v>0</v>
      </c>
      <c r="G49" s="23">
        <v>5</v>
      </c>
      <c r="H49" s="39" t="s">
        <v>186</v>
      </c>
      <c r="I49">
        <v>0</v>
      </c>
      <c r="K49" s="23">
        <v>5</v>
      </c>
      <c r="L49" s="39" t="s">
        <v>186</v>
      </c>
      <c r="M49">
        <v>0</v>
      </c>
    </row>
    <row r="50" spans="3:13" ht="18.75" x14ac:dyDescent="0.2">
      <c r="C50" s="23">
        <v>6</v>
      </c>
      <c r="D50" s="41" t="s">
        <v>37</v>
      </c>
      <c r="E50">
        <f>VLOOKUP(D50,[1]Player_in_all_team_points!$A:$B,2,)</f>
        <v>0</v>
      </c>
      <c r="G50" s="23">
        <v>6</v>
      </c>
      <c r="H50" s="41" t="s">
        <v>37</v>
      </c>
      <c r="I50">
        <f>VLOOKUP(H50,[1]Player_in_all_team_points!$A:$B,2,)</f>
        <v>0</v>
      </c>
      <c r="K50" s="23">
        <v>6</v>
      </c>
      <c r="L50" s="41" t="s">
        <v>37</v>
      </c>
      <c r="M50">
        <f>VLOOKUP(L50,[1]Player_in_all_team_points!$A:$B,2,)</f>
        <v>0</v>
      </c>
    </row>
    <row r="51" spans="3:13" ht="18.75" x14ac:dyDescent="0.2">
      <c r="C51" s="23">
        <v>7</v>
      </c>
      <c r="D51" s="39" t="s">
        <v>187</v>
      </c>
      <c r="E51">
        <v>4</v>
      </c>
      <c r="G51" s="23">
        <v>7</v>
      </c>
      <c r="H51" s="39" t="s">
        <v>187</v>
      </c>
      <c r="I51">
        <v>4</v>
      </c>
      <c r="K51" s="23">
        <v>7</v>
      </c>
      <c r="L51" s="39" t="s">
        <v>187</v>
      </c>
      <c r="M51">
        <v>4</v>
      </c>
    </row>
    <row r="52" spans="3:13" ht="18.75" x14ac:dyDescent="0.2">
      <c r="C52" s="23">
        <v>8</v>
      </c>
      <c r="D52" s="39" t="s">
        <v>188</v>
      </c>
      <c r="E52">
        <v>5</v>
      </c>
      <c r="G52" s="23">
        <v>8</v>
      </c>
      <c r="H52" s="39" t="s">
        <v>188</v>
      </c>
      <c r="I52">
        <v>5</v>
      </c>
      <c r="K52" s="23">
        <v>8</v>
      </c>
      <c r="L52" s="39" t="s">
        <v>188</v>
      </c>
      <c r="M52">
        <v>5</v>
      </c>
    </row>
    <row r="53" spans="3:13" ht="18.75" x14ac:dyDescent="0.2">
      <c r="C53" s="23">
        <v>9</v>
      </c>
      <c r="D53" s="39" t="s">
        <v>189</v>
      </c>
      <c r="E53">
        <v>0</v>
      </c>
      <c r="G53" s="23">
        <v>9</v>
      </c>
      <c r="H53" s="39" t="s">
        <v>189</v>
      </c>
      <c r="I53">
        <v>0</v>
      </c>
      <c r="K53" s="23">
        <v>9</v>
      </c>
      <c r="L53" s="39" t="s">
        <v>189</v>
      </c>
      <c r="M53">
        <v>0</v>
      </c>
    </row>
    <row r="54" spans="3:13" ht="18.75" x14ac:dyDescent="0.2">
      <c r="C54" s="23">
        <v>10</v>
      </c>
      <c r="D54" s="39" t="s">
        <v>190</v>
      </c>
      <c r="E54">
        <v>0</v>
      </c>
      <c r="G54" s="23">
        <v>10</v>
      </c>
      <c r="H54" s="39" t="s">
        <v>190</v>
      </c>
      <c r="I54">
        <v>0</v>
      </c>
      <c r="K54" s="23">
        <v>10</v>
      </c>
      <c r="L54" s="39" t="s">
        <v>190</v>
      </c>
      <c r="M54">
        <v>0</v>
      </c>
    </row>
    <row r="55" spans="3:13" ht="19.5" thickBot="1" x14ac:dyDescent="0.25">
      <c r="C55" s="24">
        <v>11</v>
      </c>
      <c r="D55" s="41" t="s">
        <v>169</v>
      </c>
      <c r="E55">
        <f>VLOOKUP(D55,[1]Player_in_all_team_points!$A:$B,2,)</f>
        <v>0</v>
      </c>
      <c r="G55" s="24">
        <v>11</v>
      </c>
      <c r="H55" s="41" t="s">
        <v>169</v>
      </c>
      <c r="I55">
        <f>VLOOKUP(H55,[1]Player_in_all_team_points!$A:$B,2,)</f>
        <v>0</v>
      </c>
      <c r="K55" s="24">
        <v>11</v>
      </c>
      <c r="L55" s="41" t="s">
        <v>169</v>
      </c>
      <c r="M55">
        <f>VLOOKUP(L55,[1]Player_in_all_team_points!$A:$B,2,)</f>
        <v>0</v>
      </c>
    </row>
    <row r="56" spans="3:13" ht="18.75" x14ac:dyDescent="0.2">
      <c r="D56" s="42" t="s">
        <v>192</v>
      </c>
      <c r="E56">
        <f>SUM(E45:E55)</f>
        <v>74</v>
      </c>
      <c r="H56" s="42" t="s">
        <v>192</v>
      </c>
      <c r="I56">
        <f>SUM(I45:I55)</f>
        <v>74</v>
      </c>
      <c r="L56" s="42" t="s">
        <v>192</v>
      </c>
      <c r="M56">
        <f>SUM(M45:M55)</f>
        <v>74</v>
      </c>
    </row>
    <row r="58" spans="3:13" ht="13.5" thickBot="1" x14ac:dyDescent="0.25"/>
    <row r="59" spans="3:13" ht="26.25" thickBot="1" x14ac:dyDescent="0.25">
      <c r="C59" s="8"/>
      <c r="D59" s="38" t="s">
        <v>205</v>
      </c>
      <c r="G59" s="8"/>
      <c r="H59" s="38" t="s">
        <v>206</v>
      </c>
      <c r="K59" s="8"/>
      <c r="L59" s="38" t="s">
        <v>207</v>
      </c>
    </row>
    <row r="60" spans="3:13" ht="18.75" thickBot="1" x14ac:dyDescent="0.25">
      <c r="C60" s="8"/>
      <c r="D60" s="9"/>
      <c r="G60" s="8"/>
      <c r="H60" s="9"/>
      <c r="K60" s="8"/>
      <c r="L60" s="9"/>
    </row>
    <row r="61" spans="3:13" ht="19.5" thickBot="1" x14ac:dyDescent="0.25">
      <c r="C61" s="19" t="s">
        <v>175</v>
      </c>
      <c r="D61" s="40" t="s">
        <v>156</v>
      </c>
      <c r="E61" t="s">
        <v>196</v>
      </c>
      <c r="G61" s="19" t="s">
        <v>175</v>
      </c>
      <c r="H61" s="40" t="s">
        <v>156</v>
      </c>
      <c r="I61" t="s">
        <v>196</v>
      </c>
      <c r="K61" s="19" t="s">
        <v>175</v>
      </c>
      <c r="L61" s="40" t="s">
        <v>156</v>
      </c>
      <c r="M61" t="s">
        <v>196</v>
      </c>
    </row>
    <row r="62" spans="3:13" ht="18.75" x14ac:dyDescent="0.2">
      <c r="C62" s="22">
        <v>1</v>
      </c>
      <c r="D62" s="39" t="s">
        <v>184</v>
      </c>
      <c r="E62">
        <f>VLOOKUP(D62,[1]Player_in_all_team_points!$A:$B,2,)</f>
        <v>65</v>
      </c>
      <c r="G62" s="22">
        <v>1</v>
      </c>
      <c r="H62" s="39" t="s">
        <v>184</v>
      </c>
      <c r="I62">
        <f>VLOOKUP(H62,[1]Player_in_all_team_points!$A:$B,2,)</f>
        <v>65</v>
      </c>
      <c r="K62" s="22">
        <v>1</v>
      </c>
      <c r="L62" s="39" t="s">
        <v>184</v>
      </c>
      <c r="M62">
        <f>VLOOKUP(L62,[1]Player_in_all_team_points!$A:$B,2,)</f>
        <v>65</v>
      </c>
    </row>
    <row r="63" spans="3:13" ht="18.75" x14ac:dyDescent="0.2">
      <c r="C63" s="23">
        <v>2</v>
      </c>
      <c r="D63" s="39" t="s">
        <v>185</v>
      </c>
      <c r="E63">
        <f>VLOOKUP(D63,[1]Player_in_all_team_points!$A:$B,2,)</f>
        <v>0</v>
      </c>
      <c r="G63" s="23">
        <v>2</v>
      </c>
      <c r="H63" s="39" t="s">
        <v>185</v>
      </c>
      <c r="I63">
        <f>VLOOKUP(H63,[1]Player_in_all_team_points!$A:$B,2,)</f>
        <v>0</v>
      </c>
      <c r="K63" s="23">
        <v>2</v>
      </c>
      <c r="L63" s="39" t="s">
        <v>185</v>
      </c>
      <c r="M63">
        <f>VLOOKUP(L63,[1]Player_in_all_team_points!$A:$B,2,)</f>
        <v>0</v>
      </c>
    </row>
    <row r="64" spans="3:13" ht="18.75" x14ac:dyDescent="0.2">
      <c r="C64" s="23">
        <v>3</v>
      </c>
      <c r="D64" s="41" t="s">
        <v>6</v>
      </c>
      <c r="E64">
        <f>VLOOKUP(D64,[1]Player_in_all_team_points!$A:$B,2,)</f>
        <v>0</v>
      </c>
      <c r="G64" s="23">
        <v>3</v>
      </c>
      <c r="H64" s="41" t="s">
        <v>6</v>
      </c>
      <c r="I64">
        <f>VLOOKUP(H64,[1]Player_in_all_team_points!$A:$B,2,)</f>
        <v>0</v>
      </c>
      <c r="K64" s="23">
        <v>3</v>
      </c>
      <c r="L64" s="41" t="s">
        <v>6</v>
      </c>
      <c r="M64">
        <f>VLOOKUP(L64,[1]Player_in_all_team_points!$A:$B,2,)</f>
        <v>0</v>
      </c>
    </row>
    <row r="65" spans="3:13" ht="18.75" x14ac:dyDescent="0.2">
      <c r="C65" s="23">
        <v>4</v>
      </c>
      <c r="D65" s="41" t="s">
        <v>70</v>
      </c>
      <c r="E65">
        <f>VLOOKUP(D65,[1]Player_in_all_team_points!$A:$B,2,)</f>
        <v>0</v>
      </c>
      <c r="G65" s="23">
        <v>4</v>
      </c>
      <c r="H65" s="41" t="s">
        <v>70</v>
      </c>
      <c r="I65">
        <f>VLOOKUP(H65,[1]Player_in_all_team_points!$A:$B,2,)</f>
        <v>0</v>
      </c>
      <c r="K65" s="23">
        <v>4</v>
      </c>
      <c r="L65" s="41" t="s">
        <v>70</v>
      </c>
      <c r="M65">
        <f>VLOOKUP(L65,[1]Player_in_all_team_points!$A:$B,2,)</f>
        <v>0</v>
      </c>
    </row>
    <row r="66" spans="3:13" ht="18.75" x14ac:dyDescent="0.2">
      <c r="C66" s="23">
        <v>5</v>
      </c>
      <c r="D66" s="39" t="s">
        <v>186</v>
      </c>
      <c r="E66">
        <v>0</v>
      </c>
      <c r="G66" s="23">
        <v>5</v>
      </c>
      <c r="H66" s="39" t="s">
        <v>186</v>
      </c>
      <c r="I66">
        <v>0</v>
      </c>
      <c r="K66" s="23">
        <v>5</v>
      </c>
      <c r="L66" s="39" t="s">
        <v>186</v>
      </c>
      <c r="M66">
        <v>0</v>
      </c>
    </row>
    <row r="67" spans="3:13" ht="18.75" x14ac:dyDescent="0.2">
      <c r="C67" s="23">
        <v>6</v>
      </c>
      <c r="D67" s="41" t="s">
        <v>37</v>
      </c>
      <c r="E67">
        <f>VLOOKUP(D67,[1]Player_in_all_team_points!$A:$B,2,)</f>
        <v>0</v>
      </c>
      <c r="G67" s="23">
        <v>6</v>
      </c>
      <c r="H67" s="41" t="s">
        <v>37</v>
      </c>
      <c r="I67">
        <f>VLOOKUP(H67,[1]Player_in_all_team_points!$A:$B,2,)</f>
        <v>0</v>
      </c>
      <c r="K67" s="23">
        <v>6</v>
      </c>
      <c r="L67" s="41" t="s">
        <v>37</v>
      </c>
      <c r="M67">
        <f>VLOOKUP(L67,[1]Player_in_all_team_points!$A:$B,2,)</f>
        <v>0</v>
      </c>
    </row>
    <row r="68" spans="3:13" ht="18.75" x14ac:dyDescent="0.2">
      <c r="C68" s="23">
        <v>7</v>
      </c>
      <c r="D68" s="39" t="s">
        <v>187</v>
      </c>
      <c r="E68">
        <v>4</v>
      </c>
      <c r="G68" s="23">
        <v>7</v>
      </c>
      <c r="H68" s="39" t="s">
        <v>187</v>
      </c>
      <c r="I68">
        <v>4</v>
      </c>
      <c r="K68" s="23">
        <v>7</v>
      </c>
      <c r="L68" s="39" t="s">
        <v>187</v>
      </c>
      <c r="M68">
        <v>4</v>
      </c>
    </row>
    <row r="69" spans="3:13" ht="18.75" x14ac:dyDescent="0.2">
      <c r="C69" s="23">
        <v>8</v>
      </c>
      <c r="D69" s="39" t="s">
        <v>188</v>
      </c>
      <c r="E69">
        <v>5</v>
      </c>
      <c r="G69" s="23">
        <v>8</v>
      </c>
      <c r="H69" s="39" t="s">
        <v>188</v>
      </c>
      <c r="I69">
        <v>5</v>
      </c>
      <c r="K69" s="23">
        <v>8</v>
      </c>
      <c r="L69" s="39" t="s">
        <v>188</v>
      </c>
      <c r="M69">
        <v>5</v>
      </c>
    </row>
    <row r="70" spans="3:13" ht="18.75" x14ac:dyDescent="0.2">
      <c r="C70" s="23">
        <v>9</v>
      </c>
      <c r="D70" s="39" t="s">
        <v>189</v>
      </c>
      <c r="E70">
        <v>0</v>
      </c>
      <c r="G70" s="23">
        <v>9</v>
      </c>
      <c r="H70" s="39" t="s">
        <v>189</v>
      </c>
      <c r="I70">
        <v>0</v>
      </c>
      <c r="K70" s="23">
        <v>9</v>
      </c>
      <c r="L70" s="39" t="s">
        <v>189</v>
      </c>
      <c r="M70">
        <v>0</v>
      </c>
    </row>
    <row r="71" spans="3:13" ht="18.75" x14ac:dyDescent="0.2">
      <c r="C71" s="23">
        <v>10</v>
      </c>
      <c r="D71" s="39" t="s">
        <v>190</v>
      </c>
      <c r="E71">
        <v>0</v>
      </c>
      <c r="G71" s="23">
        <v>10</v>
      </c>
      <c r="H71" s="39" t="s">
        <v>190</v>
      </c>
      <c r="I71">
        <v>0</v>
      </c>
      <c r="K71" s="23">
        <v>10</v>
      </c>
      <c r="L71" s="39" t="s">
        <v>190</v>
      </c>
      <c r="M71">
        <v>0</v>
      </c>
    </row>
    <row r="72" spans="3:13" ht="19.5" thickBot="1" x14ac:dyDescent="0.25">
      <c r="C72" s="24">
        <v>11</v>
      </c>
      <c r="D72" s="41" t="s">
        <v>169</v>
      </c>
      <c r="E72">
        <f>VLOOKUP(D72,[1]Player_in_all_team_points!$A:$B,2,)</f>
        <v>0</v>
      </c>
      <c r="G72" s="24">
        <v>11</v>
      </c>
      <c r="H72" s="41" t="s">
        <v>169</v>
      </c>
      <c r="I72">
        <f>VLOOKUP(H72,[1]Player_in_all_team_points!$A:$B,2,)</f>
        <v>0</v>
      </c>
      <c r="K72" s="24">
        <v>11</v>
      </c>
      <c r="L72" s="41" t="s">
        <v>169</v>
      </c>
      <c r="M72">
        <f>VLOOKUP(L72,[1]Player_in_all_team_points!$A:$B,2,)</f>
        <v>0</v>
      </c>
    </row>
    <row r="73" spans="3:13" ht="18.75" x14ac:dyDescent="0.2">
      <c r="D73" s="42" t="s">
        <v>192</v>
      </c>
      <c r="E73">
        <f>SUM(E62:E72)</f>
        <v>74</v>
      </c>
      <c r="H73" s="42" t="s">
        <v>192</v>
      </c>
      <c r="I73">
        <f>SUM(I62:I72)</f>
        <v>74</v>
      </c>
      <c r="L73" s="42" t="s">
        <v>192</v>
      </c>
      <c r="M73">
        <f>SUM(M62:M72)</f>
        <v>74</v>
      </c>
    </row>
  </sheetData>
  <autoFilter ref="R25:S25" xr:uid="{57907D7A-1A4B-4A0F-9C52-592934A78E1D}">
    <sortState xmlns:xlrd2="http://schemas.microsoft.com/office/spreadsheetml/2017/richdata2" ref="R26:S37">
      <sortCondition descending="1" ref="S25"/>
    </sortState>
  </autoFilter>
  <mergeCells count="1">
    <mergeCell ref="R24:T24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43"/>
  <sheetViews>
    <sheetView workbookViewId="0">
      <selection activeCell="A2" sqref="A2:A43"/>
    </sheetView>
  </sheetViews>
  <sheetFormatPr defaultRowHeight="12.75" x14ac:dyDescent="0.2"/>
  <cols>
    <col min="1" max="1" width="183" customWidth="1"/>
    <col min="4" max="4" width="12.140625" customWidth="1"/>
  </cols>
  <sheetData>
    <row r="1" spans="1:1" ht="39" customHeight="1" x14ac:dyDescent="0.2">
      <c r="A1" s="32" t="s">
        <v>176</v>
      </c>
    </row>
    <row r="2" spans="1:1" ht="14.25" customHeight="1" x14ac:dyDescent="0.2">
      <c r="A2" s="51" t="s">
        <v>177</v>
      </c>
    </row>
    <row r="3" spans="1:1" ht="14.25" customHeight="1" x14ac:dyDescent="0.2">
      <c r="A3" s="51"/>
    </row>
    <row r="4" spans="1:1" ht="14.25" customHeight="1" x14ac:dyDescent="0.2">
      <c r="A4" s="51"/>
    </row>
    <row r="5" spans="1:1" ht="14.25" customHeight="1" x14ac:dyDescent="0.2">
      <c r="A5" s="51"/>
    </row>
    <row r="6" spans="1:1" ht="14.25" customHeight="1" x14ac:dyDescent="0.2">
      <c r="A6" s="51"/>
    </row>
    <row r="7" spans="1:1" ht="14.25" customHeight="1" x14ac:dyDescent="0.2">
      <c r="A7" s="51"/>
    </row>
    <row r="8" spans="1:1" ht="14.25" customHeight="1" x14ac:dyDescent="0.2">
      <c r="A8" s="51"/>
    </row>
    <row r="9" spans="1:1" ht="14.25" customHeight="1" x14ac:dyDescent="0.2">
      <c r="A9" s="51"/>
    </row>
    <row r="10" spans="1:1" ht="14.25" customHeight="1" x14ac:dyDescent="0.2">
      <c r="A10" s="51"/>
    </row>
    <row r="11" spans="1:1" ht="14.25" customHeight="1" x14ac:dyDescent="0.2">
      <c r="A11" s="51"/>
    </row>
    <row r="12" spans="1:1" ht="14.25" customHeight="1" x14ac:dyDescent="0.2">
      <c r="A12" s="51"/>
    </row>
    <row r="13" spans="1:1" ht="14.25" customHeight="1" x14ac:dyDescent="0.2">
      <c r="A13" s="51"/>
    </row>
    <row r="14" spans="1:1" ht="14.25" customHeight="1" x14ac:dyDescent="0.2">
      <c r="A14" s="51"/>
    </row>
    <row r="15" spans="1:1" ht="14.25" customHeight="1" x14ac:dyDescent="0.2">
      <c r="A15" s="51"/>
    </row>
    <row r="16" spans="1:1" x14ac:dyDescent="0.2">
      <c r="A16" s="51"/>
    </row>
    <row r="17" spans="1:1" x14ac:dyDescent="0.2">
      <c r="A17" s="51"/>
    </row>
    <row r="18" spans="1:1" x14ac:dyDescent="0.2">
      <c r="A18" s="51"/>
    </row>
    <row r="19" spans="1:1" x14ac:dyDescent="0.2">
      <c r="A19" s="51"/>
    </row>
    <row r="20" spans="1:1" x14ac:dyDescent="0.2">
      <c r="A20" s="51"/>
    </row>
    <row r="21" spans="1:1" x14ac:dyDescent="0.2">
      <c r="A21" s="51"/>
    </row>
    <row r="22" spans="1:1" x14ac:dyDescent="0.2">
      <c r="A22" s="51"/>
    </row>
    <row r="23" spans="1:1" x14ac:dyDescent="0.2">
      <c r="A23" s="51"/>
    </row>
    <row r="24" spans="1:1" x14ac:dyDescent="0.2">
      <c r="A24" s="51"/>
    </row>
    <row r="25" spans="1:1" x14ac:dyDescent="0.2">
      <c r="A25" s="51"/>
    </row>
    <row r="26" spans="1:1" x14ac:dyDescent="0.2">
      <c r="A26" s="51"/>
    </row>
    <row r="27" spans="1:1" x14ac:dyDescent="0.2">
      <c r="A27" s="51"/>
    </row>
    <row r="28" spans="1:1" x14ac:dyDescent="0.2">
      <c r="A28" s="51"/>
    </row>
    <row r="29" spans="1:1" x14ac:dyDescent="0.2">
      <c r="A29" s="51"/>
    </row>
    <row r="30" spans="1:1" x14ac:dyDescent="0.2">
      <c r="A30" s="51"/>
    </row>
    <row r="31" spans="1:1" x14ac:dyDescent="0.2">
      <c r="A31" s="51"/>
    </row>
    <row r="32" spans="1:1" x14ac:dyDescent="0.2">
      <c r="A32" s="51"/>
    </row>
    <row r="33" spans="1:1" x14ac:dyDescent="0.2">
      <c r="A33" s="51"/>
    </row>
    <row r="34" spans="1:1" x14ac:dyDescent="0.2">
      <c r="A34" s="51"/>
    </row>
    <row r="35" spans="1:1" x14ac:dyDescent="0.2">
      <c r="A35" s="51"/>
    </row>
    <row r="36" spans="1:1" x14ac:dyDescent="0.2">
      <c r="A36" s="51"/>
    </row>
    <row r="37" spans="1:1" x14ac:dyDescent="0.2">
      <c r="A37" s="51"/>
    </row>
    <row r="38" spans="1:1" x14ac:dyDescent="0.2">
      <c r="A38" s="51"/>
    </row>
    <row r="39" spans="1:1" x14ac:dyDescent="0.2">
      <c r="A39" s="51"/>
    </row>
    <row r="40" spans="1:1" x14ac:dyDescent="0.2">
      <c r="A40" s="51"/>
    </row>
    <row r="41" spans="1:1" x14ac:dyDescent="0.2">
      <c r="A41" s="51"/>
    </row>
    <row r="42" spans="1:1" x14ac:dyDescent="0.2">
      <c r="A42" s="51"/>
    </row>
    <row r="43" spans="1:1" x14ac:dyDescent="0.2">
      <c r="A43" s="51"/>
    </row>
  </sheetData>
  <mergeCells count="1">
    <mergeCell ref="A2:A4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List</vt:lpstr>
      <vt:lpstr>Player Database</vt:lpstr>
      <vt:lpstr>Selection</vt:lpstr>
      <vt:lpstr>Point Table</vt:lpstr>
      <vt:lpstr>Rules</vt:lpstr>
      <vt:lpstr>Allrounder</vt:lpstr>
      <vt:lpstr>Batting_allrounder</vt:lpstr>
      <vt:lpstr>BBBB</vt:lpstr>
      <vt:lpstr>Bowler</vt:lpstr>
      <vt:lpstr>Bowling_allrounder</vt:lpstr>
      <vt:lpstr>Middle_order_Batsman</vt:lpstr>
      <vt:lpstr>Opening_batsman</vt:lpstr>
      <vt:lpstr>Top_order_Batsman</vt:lpstr>
      <vt:lpstr>Wicketkeeper_batsman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Nazmul Hossain</dc:creator>
  <dc:description/>
  <cp:lastModifiedBy>Xubaer</cp:lastModifiedBy>
  <cp:revision>1</cp:revision>
  <dcterms:created xsi:type="dcterms:W3CDTF">2019-05-17T23:15:44Z</dcterms:created>
  <dcterms:modified xsi:type="dcterms:W3CDTF">2019-05-28T21:31:28Z</dcterms:modified>
  <dc:language>en-US</dc:language>
</cp:coreProperties>
</file>